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y_project_2026\Git_test\STM32F4_Bootloader_OTA_Test_Project\00_Project\00_Preparation\"/>
    </mc:Choice>
  </mc:AlternateContent>
  <xr:revisionPtr revIDLastSave="0" documentId="13_ncr:1_{BA1B4059-9886-46A8-A355-094013357071}" xr6:coauthVersionLast="47" xr6:coauthVersionMax="47" xr10:uidLastSave="{00000000-0000-0000-0000-000000000000}"/>
  <bookViews>
    <workbookView xWindow="-103" yWindow="-103" windowWidth="22149" windowHeight="13200" firstSheet="1" activeTab="1" xr2:uid="{00000000-000D-0000-FFFF-FFFF00000000}"/>
  </bookViews>
  <sheets>
    <sheet name="00_说明_Instructions" sheetId="1" r:id="rId1"/>
    <sheet name="01_资料_References" sheetId="2" r:id="rId2"/>
    <sheet name="02_资源_Hardware" sheetId="3" r:id="rId3"/>
    <sheet name="03_引脚_Pinout" sheetId="4" r:id="rId4"/>
    <sheet name="04_接口_HSI" sheetId="5" r:id="rId5"/>
    <sheet name="05_问题_Issues" sheetId="6" r:id="rId6"/>
    <sheet name="06_环境_Environment" sheetId="7" r:id="rId7"/>
  </sheets>
  <calcPr calcId="0"/>
</workbook>
</file>

<file path=xl/sharedStrings.xml><?xml version="1.0" encoding="utf-8"?>
<sst xmlns="http://schemas.openxmlformats.org/spreadsheetml/2006/main" count="821" uniqueCount="472">
  <si>
    <r>
      <t>工程准备工作簿</t>
    </r>
    <r>
      <rPr>
        <b/>
        <sz val="11"/>
        <color rgb="FFFFFFFF"/>
        <rFont val="Carlito"/>
        <family val="2"/>
      </rPr>
      <t xml:space="preserve"> / Engineering Preparation Workbook</t>
    </r>
  </si>
  <si>
    <r>
      <rPr>
        <b/>
        <sz val="11"/>
        <rFont val="Carlito"/>
      </rPr>
      <t>项目</t>
    </r>
    <r>
      <rPr>
        <b/>
        <sz val="11"/>
        <rFont val="Carlito"/>
        <family val="2"/>
      </rPr>
      <t xml:space="preserve"> / Item</t>
    </r>
  </si>
  <si>
    <r>
      <rPr>
        <b/>
        <sz val="11"/>
        <rFont val="Carlito"/>
      </rPr>
      <t>中文说明</t>
    </r>
    <r>
      <rPr>
        <b/>
        <sz val="11"/>
        <rFont val="Carlito"/>
        <family val="2"/>
      </rPr>
      <t xml:space="preserve"> / Chinese</t>
    </r>
  </si>
  <si>
    <t>English Description</t>
  </si>
  <si>
    <r>
      <rPr>
        <sz val="11"/>
        <rFont val="Carlito"/>
      </rPr>
      <t>目的</t>
    </r>
    <r>
      <rPr>
        <sz val="11"/>
        <rFont val="Carlito"/>
        <family val="2"/>
      </rPr>
      <t xml:space="preserve"> / Purpose</t>
    </r>
  </si>
  <si>
    <r>
      <rPr>
        <sz val="11"/>
        <rFont val="Carlito"/>
      </rPr>
      <t>正式设计前收集资料、确认硬件事实、建立工具链基线、记录未知项。</t>
    </r>
  </si>
  <si>
    <t>Collect references, confirm hardware facts, establish the toolchain baseline, and track unknowns before formal design.</t>
  </si>
  <si>
    <r>
      <rPr>
        <sz val="11"/>
        <rFont val="Carlito"/>
      </rPr>
      <t>证据规则</t>
    </r>
    <r>
      <rPr>
        <sz val="11"/>
        <rFont val="Carlito"/>
        <family val="2"/>
      </rPr>
      <t xml:space="preserve"> / Evidence</t>
    </r>
  </si>
  <si>
    <r>
      <rPr>
        <sz val="11"/>
        <rFont val="Carlito"/>
      </rPr>
      <t>无可靠证据时使用</t>
    </r>
    <r>
      <rPr>
        <sz val="11"/>
        <rFont val="Carlito"/>
        <family val="2"/>
      </rPr>
      <t xml:space="preserve"> ASSUMED </t>
    </r>
    <r>
      <rPr>
        <sz val="11"/>
        <rFont val="Carlito"/>
      </rPr>
      <t>或</t>
    </r>
    <r>
      <rPr>
        <sz val="11"/>
        <rFont val="Carlito"/>
        <family val="2"/>
      </rPr>
      <t xml:space="preserve"> UNKNOWN</t>
    </r>
    <r>
      <rPr>
        <sz val="11"/>
        <rFont val="Carlito"/>
      </rPr>
      <t>，不得凭经验标记</t>
    </r>
    <r>
      <rPr>
        <sz val="11"/>
        <rFont val="Carlito"/>
        <family val="2"/>
      </rPr>
      <t xml:space="preserve"> CONFIRMED</t>
    </r>
    <r>
      <rPr>
        <sz val="11"/>
        <rFont val="Carlito"/>
      </rPr>
      <t>。</t>
    </r>
  </si>
  <si>
    <t>Use ASSUMED or UNKNOWN without reliable evidence; do not mark CONFIRMED from experience.</t>
  </si>
  <si>
    <r>
      <rPr>
        <sz val="11"/>
        <rFont val="Carlito"/>
      </rPr>
      <t>边界</t>
    </r>
    <r>
      <rPr>
        <sz val="11"/>
        <rFont val="Carlito"/>
        <family val="2"/>
      </rPr>
      <t xml:space="preserve"> / Boundary</t>
    </r>
  </si>
  <si>
    <r>
      <t xml:space="preserve">Flash </t>
    </r>
    <r>
      <rPr>
        <sz val="11"/>
        <rFont val="Carlito"/>
      </rPr>
      <t>软件分区、</t>
    </r>
    <r>
      <rPr>
        <sz val="11"/>
        <rFont val="Carlito"/>
        <family val="2"/>
      </rPr>
      <t xml:space="preserve">Boot </t>
    </r>
    <r>
      <rPr>
        <sz val="11"/>
        <rFont val="Carlito"/>
      </rPr>
      <t>决策、</t>
    </r>
    <r>
      <rPr>
        <sz val="11"/>
        <rFont val="Carlito"/>
        <family val="2"/>
      </rPr>
      <t xml:space="preserve">OTA </t>
    </r>
    <r>
      <rPr>
        <sz val="11"/>
        <rFont val="Carlito"/>
      </rPr>
      <t>状态机、</t>
    </r>
    <r>
      <rPr>
        <sz val="11"/>
        <rFont val="Carlito"/>
        <family val="2"/>
      </rPr>
      <t>Metadata</t>
    </r>
    <r>
      <rPr>
        <sz val="11"/>
        <rFont val="Carlito"/>
      </rPr>
      <t>、</t>
    </r>
    <r>
      <rPr>
        <sz val="11"/>
        <rFont val="Carlito"/>
        <family val="2"/>
      </rPr>
      <t xml:space="preserve">Rollback </t>
    </r>
    <r>
      <rPr>
        <sz val="11"/>
        <rFont val="Carlito"/>
      </rPr>
      <t>等属于后续设计。</t>
    </r>
  </si>
  <si>
    <t>Software flash layout, boot decisions, OTA state machines, metadata, rollback, etc. belong to later design stages.</t>
  </si>
  <si>
    <r>
      <rPr>
        <sz val="11"/>
        <rFont val="Carlito"/>
      </rPr>
      <t>退出条件</t>
    </r>
    <r>
      <rPr>
        <sz val="11"/>
        <rFont val="Carlito"/>
        <family val="2"/>
      </rPr>
      <t xml:space="preserve"> / Exit Criteria</t>
    </r>
  </si>
  <si>
    <r>
      <rPr>
        <sz val="11"/>
        <rFont val="Carlito"/>
      </rPr>
      <t>关键资料、资源、</t>
    </r>
    <r>
      <rPr>
        <sz val="11"/>
        <rFont val="Carlito"/>
        <family val="2"/>
      </rPr>
      <t>Pinout</t>
    </r>
    <r>
      <rPr>
        <sz val="11"/>
        <rFont val="Carlito"/>
      </rPr>
      <t>、接口约束、工具链已记录，且无阻塞首个设计阶段的未知项。</t>
    </r>
  </si>
  <si>
    <t>Key references, resources, pinout, interface constraints, and toolchain are recorded with no unknown blocking the first design stage.</t>
  </si>
  <si>
    <r>
      <t>资料索引</t>
    </r>
    <r>
      <rPr>
        <b/>
        <sz val="11"/>
        <color rgb="FFFFFFFF"/>
        <rFont val="Carlito"/>
        <family val="2"/>
      </rPr>
      <t xml:space="preserve"> / Reference Index</t>
    </r>
  </si>
  <si>
    <r>
      <t>资料</t>
    </r>
    <r>
      <rPr>
        <b/>
        <sz val="11"/>
        <rFont val="Carlito"/>
        <family val="2"/>
      </rPr>
      <t>ID
Reference ID</t>
    </r>
  </si>
  <si>
    <r>
      <t xml:space="preserve">资料类型
</t>
    </r>
    <r>
      <rPr>
        <b/>
        <sz val="11"/>
        <rFont val="Carlito"/>
        <family val="2"/>
      </rPr>
      <t>Document Type</t>
    </r>
  </si>
  <si>
    <r>
      <t xml:space="preserve">文档名称
</t>
    </r>
    <r>
      <rPr>
        <b/>
        <sz val="11"/>
        <rFont val="Carlito"/>
        <family val="2"/>
      </rPr>
      <t>Document Title</t>
    </r>
  </si>
  <si>
    <r>
      <t>器件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主题
</t>
    </r>
    <r>
      <rPr>
        <b/>
        <sz val="11"/>
        <rFont val="Carlito"/>
        <family val="2"/>
      </rPr>
      <t>Device / Topic</t>
    </r>
  </si>
  <si>
    <r>
      <t>版本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修订
</t>
    </r>
    <r>
      <rPr>
        <b/>
        <sz val="11"/>
        <rFont val="Carlito"/>
        <family val="2"/>
      </rPr>
      <t>Revision</t>
    </r>
  </si>
  <si>
    <r>
      <t xml:space="preserve">来源组织
</t>
    </r>
    <r>
      <rPr>
        <b/>
        <sz val="11"/>
        <rFont val="Carlito"/>
        <family val="2"/>
      </rPr>
      <t>Source Org</t>
    </r>
  </si>
  <si>
    <r>
      <t>来源</t>
    </r>
    <r>
      <rPr>
        <b/>
        <sz val="11"/>
        <rFont val="Carlito"/>
        <family val="2"/>
      </rPr>
      <t>URL
Source URL</t>
    </r>
  </si>
  <si>
    <r>
      <t xml:space="preserve">仓库路径
</t>
    </r>
    <r>
      <rPr>
        <b/>
        <sz val="11"/>
        <rFont val="Carlito"/>
        <family val="2"/>
      </rPr>
      <t>Repository Path</t>
    </r>
  </si>
  <si>
    <r>
      <t xml:space="preserve">权威性
</t>
    </r>
    <r>
      <rPr>
        <b/>
        <sz val="11"/>
        <rFont val="Carlito"/>
        <family val="2"/>
      </rPr>
      <t>Authority</t>
    </r>
  </si>
  <si>
    <r>
      <t xml:space="preserve">状态
</t>
    </r>
    <r>
      <rPr>
        <b/>
        <sz val="11"/>
        <rFont val="Carlito"/>
        <family val="2"/>
      </rPr>
      <t>Status</t>
    </r>
  </si>
  <si>
    <r>
      <t xml:space="preserve">核对日期
</t>
    </r>
    <r>
      <rPr>
        <b/>
        <sz val="11"/>
        <rFont val="Carlito"/>
        <family val="2"/>
      </rPr>
      <t>Checked Date</t>
    </r>
  </si>
  <si>
    <r>
      <t xml:space="preserve">备注
</t>
    </r>
    <r>
      <rPr>
        <b/>
        <sz val="11"/>
        <rFont val="Carlito"/>
        <family val="2"/>
      </rPr>
      <t>Notes</t>
    </r>
  </si>
  <si>
    <t>参考手册 / Reference Manual</t>
  </si>
  <si>
    <t>STM32F411CEU6_ReferenceManual</t>
  </si>
  <si>
    <t>MCU</t>
  </si>
  <si>
    <t>开发板商家</t>
  </si>
  <si>
    <t>01_Reference\Reference_Manuals</t>
  </si>
  <si>
    <t>厂商 / Vendor</t>
  </si>
  <si>
    <t>已确认 / CONFIRMED</t>
  </si>
  <si>
    <r>
      <t>STM32F3</t>
    </r>
    <r>
      <rPr>
        <sz val="11"/>
        <rFont val="宋体"/>
        <family val="3"/>
      </rPr>
      <t>与</t>
    </r>
    <r>
      <rPr>
        <sz val="11"/>
        <rFont val="Carlito"/>
        <family val="2"/>
      </rPr>
      <t>F4</t>
    </r>
    <r>
      <rPr>
        <sz val="11"/>
        <rFont val="宋体"/>
        <family val="3"/>
      </rPr>
      <t>系列</t>
    </r>
    <r>
      <rPr>
        <sz val="11"/>
        <rFont val="Carlito"/>
        <family val="2"/>
      </rPr>
      <t>Cortex M4</t>
    </r>
    <r>
      <rPr>
        <sz val="11"/>
        <rFont val="宋体"/>
        <family val="3"/>
      </rPr>
      <t>内核编程手册</t>
    </r>
  </si>
  <si>
    <t>数据手册 / Datasheet</t>
  </si>
  <si>
    <t>STM32F411CEU6_Datasheet</t>
  </si>
  <si>
    <t>01_Reference\Datasheets</t>
  </si>
  <si>
    <r>
      <t>W25Q64JVSSIQ_</t>
    </r>
    <r>
      <rPr>
        <sz val="11"/>
        <rFont val="宋体"/>
        <family val="3"/>
      </rPr>
      <t>英文规格书</t>
    </r>
  </si>
  <si>
    <t>Flash</t>
  </si>
  <si>
    <t>立创商城</t>
  </si>
  <si>
    <t>https://item.szlcsc.com/190565.html</t>
  </si>
  <si>
    <r>
      <t>AT24C02_</t>
    </r>
    <r>
      <rPr>
        <sz val="11"/>
        <rFont val="宋体"/>
        <family val="3"/>
      </rPr>
      <t>规格书</t>
    </r>
  </si>
  <si>
    <t>EEPROM</t>
  </si>
  <si>
    <t>https://item.szlcsc.com/721923.html?fromZone=s_s__%2522AT24C02%2522&amp;spm=sc.gbn.xh2.zy.n___sc.hm.hd.ss&amp;lcsc_vid=Q1VYA1JVRFFWUFNXTldeUF0ATldbVQVfEQRZUVBeRVExVlNeTlBeX1NWRVBfUzsOAxUeFF5JWBYZEEoBGA4JCwFIFA4DSA%3D%3D</t>
  </si>
  <si>
    <t>bluetooth-hc05-datasheet</t>
  </si>
  <si>
    <t>Bluetooth</t>
  </si>
  <si>
    <t>网站社区</t>
  </si>
  <si>
    <t>https://www.rlocman.cn/datasheet/pdf.html?di=185839</t>
  </si>
  <si>
    <t>社区参考 / Community</t>
  </si>
  <si>
    <t>原理图 / Schematic</t>
  </si>
  <si>
    <t>MiniF4x1Cx_V31 SchDoc</t>
  </si>
  <si>
    <t>开发板 / Core Board</t>
  </si>
  <si>
    <t>V3.1（按文件名）</t>
  </si>
  <si>
    <t>开发板资料（来源组织待确认）</t>
  </si>
  <si>
    <t>https://github.com/wangyaoqianw-max/STM32F4_Bootloader_OTA_Test_Project/blob/main/02_Hardware/Schematic/MiniF4x1Cx_V31%20SchDoc.pdf</t>
  </si>
  <si>
    <t>02_Hardware/Schematic/MiniF4x1Cx_V31 SchDoc.pdf</t>
  </si>
  <si>
    <t>未知 / Unknown</t>
  </si>
  <si>
    <t>未确认 / UNKNOWN</t>
  </si>
  <si>
    <t>P169H002-CTP NEW 规格书SPEC</t>
  </si>
  <si>
    <t>LCD / Touch Display</t>
  </si>
  <si>
    <t>Rev A / 2021-10-07</t>
  </si>
  <si>
    <t>Shenzhen P&amp;O Technology Co.,Limited</t>
  </si>
  <si>
    <t>https://github.com/wangyaoqianw-max/STM32F4_Bootloader_OTA_Test_Project/blob/main/02_Hardware/Hardware_Software_Interface/P169H200%E5%B1%8F%E5%B9%95%E5%8F%82%E8%80%83%E6%96%87%E4%BB%B6/P169H002-CTP%20NEW%20%E8%A7%84%E6%A0%BC%E4%B9%A6SPEC.md</t>
  </si>
  <si>
    <t>02_Hardware/Hardware_Software_Interface/P169H200屏幕参考文件/P169H002-CTP NEW 规格书SPEC.md</t>
  </si>
  <si>
    <t>其他 / Other</t>
  </si>
  <si>
    <t>屏幕模组接线说明</t>
  </si>
  <si>
    <t>2025-12-06</t>
  </si>
  <si>
    <t>屏幕模组配套资料</t>
  </si>
  <si>
    <t>https://github.com/wangyaoqianw-max/STM32F4_Bootloader_OTA_Test_Project/blob/main/02_Hardware/Hardware_Software_Interface/P169H200%E5%B1%8F%E5%B9%95%E5%8F%82%E8%80%83%E6%96%87%E4%BB%B6/%E5%B1%8F%E5%B9%95%E6%A8%A1%E7%BB%84%E6%8E%A5%E7%BA%BF%E8%AF%B4%E6%98%8E.md</t>
  </si>
  <si>
    <t>02_Hardware/Hardware_Software_Interface/P169H200屏幕参考文件/屏幕模组接线说明.md</t>
  </si>
  <si>
    <r>
      <t>硬件资源清单</t>
    </r>
    <r>
      <rPr>
        <b/>
        <sz val="11"/>
        <color rgb="FFFFFFFF"/>
        <rFont val="Carlito"/>
        <family val="2"/>
      </rPr>
      <t xml:space="preserve"> / Hardware Resource Inventory</t>
    </r>
  </si>
  <si>
    <r>
      <t>资源</t>
    </r>
    <r>
      <rPr>
        <b/>
        <sz val="11"/>
        <rFont val="Carlito"/>
        <family val="2"/>
      </rPr>
      <t>ID
Resource ID</t>
    </r>
  </si>
  <si>
    <r>
      <t xml:space="preserve">类别
</t>
    </r>
    <r>
      <rPr>
        <b/>
        <sz val="11"/>
        <rFont val="Carlito"/>
        <family val="2"/>
      </rPr>
      <t>Category</t>
    </r>
  </si>
  <si>
    <r>
      <t>器件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资源
</t>
    </r>
    <r>
      <rPr>
        <b/>
        <sz val="11"/>
        <rFont val="Carlito"/>
        <family val="2"/>
      </rPr>
      <t>Device / Resource</t>
    </r>
  </si>
  <si>
    <r>
      <t xml:space="preserve">型号
</t>
    </r>
    <r>
      <rPr>
        <b/>
        <sz val="11"/>
        <rFont val="Carlito"/>
        <family val="2"/>
      </rPr>
      <t>Part Number</t>
    </r>
  </si>
  <si>
    <r>
      <t xml:space="preserve">数量
</t>
    </r>
    <r>
      <rPr>
        <b/>
        <sz val="11"/>
        <rFont val="Carlito"/>
        <family val="2"/>
      </rPr>
      <t>Qty</t>
    </r>
  </si>
  <si>
    <r>
      <t xml:space="preserve">接口
</t>
    </r>
    <r>
      <rPr>
        <b/>
        <sz val="11"/>
        <rFont val="Carlito"/>
        <family val="2"/>
      </rPr>
      <t>Interface</t>
    </r>
  </si>
  <si>
    <r>
      <t>供电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电平
</t>
    </r>
    <r>
      <rPr>
        <b/>
        <sz val="11"/>
        <rFont val="Carlito"/>
        <family val="2"/>
      </rPr>
      <t>Power / Logic</t>
    </r>
  </si>
  <si>
    <r>
      <t xml:space="preserve">项目用途
</t>
    </r>
    <r>
      <rPr>
        <b/>
        <sz val="11"/>
        <rFont val="Carlito"/>
        <family val="2"/>
      </rPr>
      <t>Project Use</t>
    </r>
  </si>
  <si>
    <t>STM32F411CEU6无flash核心板</t>
  </si>
  <si>
    <t>STM32F411CEU6</t>
  </si>
  <si>
    <t>-</t>
  </si>
  <si>
    <t>主控芯片</t>
  </si>
  <si>
    <t>1、2、3</t>
  </si>
  <si>
    <t>板载W25Q64</t>
  </si>
  <si>
    <t>SPI2</t>
  </si>
  <si>
    <t>外挂Flash</t>
  </si>
  <si>
    <t>板载AT24C02</t>
  </si>
  <si>
    <t>AT24C02</t>
  </si>
  <si>
    <t>软件 I2C / Software I2C (PB6/PB7)</t>
  </si>
  <si>
    <t>外部EEPROM</t>
  </si>
  <si>
    <t>安全模块</t>
  </si>
  <si>
    <t>板载CK02AT</t>
  </si>
  <si>
    <t>CK02AT</t>
  </si>
  <si>
    <t>加密芯片</t>
  </si>
  <si>
    <t>使用软件 I2C；CK02AT 公开资料不足，V1 不作为安全链核心依赖。</t>
  </si>
  <si>
    <t>指示模块</t>
  </si>
  <si>
    <t>板载LED</t>
  </si>
  <si>
    <t>GPIO/PWM</t>
  </si>
  <si>
    <t>LOW</t>
  </si>
  <si>
    <t>看具体要求</t>
  </si>
  <si>
    <t>通信模块</t>
  </si>
  <si>
    <t>焊接引脚HC-05蓝牙模块</t>
  </si>
  <si>
    <t>HC-05</t>
  </si>
  <si>
    <t>USART1 (PA9/PA10)</t>
  </si>
  <si>
    <t>蓝牙通信</t>
  </si>
  <si>
    <t>显示模块</t>
  </si>
  <si>
    <r>
      <t>1.69</t>
    </r>
    <r>
      <rPr>
        <sz val="11"/>
        <rFont val="微软雅黑"/>
        <family val="2"/>
      </rPr>
      <t>寸</t>
    </r>
    <r>
      <rPr>
        <sz val="11"/>
        <rFont val="Arial"/>
        <family val="2"/>
      </rPr>
      <t>LCD</t>
    </r>
    <r>
      <rPr>
        <sz val="11"/>
        <rFont val="微软雅黑"/>
        <family val="2"/>
      </rPr>
      <t>可触屏电容显示器</t>
    </r>
  </si>
  <si>
    <t>P169H002</t>
  </si>
  <si>
    <t>SPI1 + 可选 I2C / Optional I2C (CTP)</t>
  </si>
  <si>
    <t>显示界面</t>
  </si>
  <si>
    <t>调试模块</t>
  </si>
  <si>
    <t>J-link</t>
  </si>
  <si>
    <t>SWD (J-Link)</t>
  </si>
  <si>
    <t>调试、烧录</t>
  </si>
  <si>
    <t>MCU内部外设 / MCU Internal Peripheral</t>
  </si>
  <si>
    <t>独立看门狗 / IWDG</t>
  </si>
  <si>
    <t>STM32F411 IWDG</t>
  </si>
  <si>
    <t>MCU Internal</t>
  </si>
  <si>
    <t>Trial Boot / APP 启动失败检测</t>
  </si>
  <si>
    <t>1、3</t>
  </si>
  <si>
    <t>内部存储 / Internal Storage</t>
  </si>
  <si>
    <t>STM32 内部 Flash</t>
  </si>
  <si>
    <t>STM32F411CEU6 Internal Flash</t>
  </si>
  <si>
    <t>Bootloader + Application 运行固件存储</t>
  </si>
  <si>
    <r>
      <t>引脚与板级信号</t>
    </r>
    <r>
      <rPr>
        <b/>
        <sz val="11"/>
        <color rgb="FFFFFFFF"/>
        <rFont val="Carlito"/>
        <family val="2"/>
      </rPr>
      <t xml:space="preserve"> / Pinout &amp; Board Signals</t>
    </r>
  </si>
  <si>
    <r>
      <t>信号</t>
    </r>
    <r>
      <rPr>
        <b/>
        <sz val="11"/>
        <rFont val="Carlito"/>
        <family val="2"/>
      </rPr>
      <t>ID
Signal ID</t>
    </r>
  </si>
  <si>
    <r>
      <t xml:space="preserve">板级信号
</t>
    </r>
    <r>
      <rPr>
        <b/>
        <sz val="11"/>
        <rFont val="Carlito"/>
        <family val="2"/>
      </rPr>
      <t>Board Signal</t>
    </r>
  </si>
  <si>
    <r>
      <t xml:space="preserve">MCU引脚
</t>
    </r>
    <r>
      <rPr>
        <b/>
        <sz val="11"/>
        <rFont val="Carlito"/>
        <family val="2"/>
      </rPr>
      <t>MCU Pin</t>
    </r>
  </si>
  <si>
    <r>
      <t>外设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功能
</t>
    </r>
    <r>
      <rPr>
        <b/>
        <sz val="11"/>
        <rFont val="Carlito"/>
        <family val="2"/>
      </rPr>
      <t>Peripheral / Function</t>
    </r>
  </si>
  <si>
    <r>
      <t xml:space="preserve">复用功能
</t>
    </r>
    <r>
      <rPr>
        <b/>
        <sz val="11"/>
        <rFont val="Carlito"/>
        <family val="2"/>
      </rPr>
      <t>AF</t>
    </r>
  </si>
  <si>
    <r>
      <t xml:space="preserve">方向
</t>
    </r>
    <r>
      <rPr>
        <b/>
        <sz val="11"/>
        <rFont val="Carlito"/>
        <family val="2"/>
      </rPr>
      <t>Direction</t>
    </r>
  </si>
  <si>
    <r>
      <t xml:space="preserve">有效电平
</t>
    </r>
    <r>
      <rPr>
        <b/>
        <sz val="11"/>
        <rFont val="Carlito"/>
        <family val="2"/>
      </rPr>
      <t>Active Level</t>
    </r>
  </si>
  <si>
    <r>
      <t>上拉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下拉
</t>
    </r>
    <r>
      <rPr>
        <b/>
        <sz val="11"/>
        <rFont val="Carlito"/>
        <family val="2"/>
      </rPr>
      <t>Pull</t>
    </r>
  </si>
  <si>
    <r>
      <t xml:space="preserve">电压
</t>
    </r>
    <r>
      <rPr>
        <b/>
        <sz val="11"/>
        <rFont val="Carlito"/>
        <family val="2"/>
      </rPr>
      <t>Voltage</t>
    </r>
  </si>
  <si>
    <r>
      <t xml:space="preserve">连接器件
</t>
    </r>
    <r>
      <rPr>
        <b/>
        <sz val="11"/>
        <rFont val="Carlito"/>
        <family val="2"/>
      </rPr>
      <t>Board Device</t>
    </r>
  </si>
  <si>
    <r>
      <t>资料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原理图页
</t>
    </r>
    <r>
      <rPr>
        <b/>
        <sz val="11"/>
        <rFont val="Carlito"/>
        <family val="2"/>
      </rPr>
      <t>Reference / Page</t>
    </r>
  </si>
  <si>
    <t>LED1</t>
  </si>
  <si>
    <t>PC13</t>
  </si>
  <si>
    <t>GPIO Output</t>
  </si>
  <si>
    <t>OUT</t>
  </si>
  <si>
    <t>I2C_SCL</t>
  </si>
  <si>
    <t>PB6</t>
  </si>
  <si>
    <t>软件I2C</t>
  </si>
  <si>
    <t>I/O</t>
  </si>
  <si>
    <t>N/A</t>
  </si>
  <si>
    <t>Pull-up / 上拉</t>
  </si>
  <si>
    <r>
      <t>AT24C02</t>
    </r>
    <r>
      <rPr>
        <sz val="11"/>
        <rFont val="微软雅黑"/>
        <family val="2"/>
      </rPr>
      <t>、</t>
    </r>
    <r>
      <rPr>
        <sz val="11"/>
        <rFont val="Carlito"/>
        <family val="2"/>
      </rPr>
      <t>CK02AT</t>
    </r>
  </si>
  <si>
    <t>I2C_SDA</t>
  </si>
  <si>
    <t>PB7</t>
  </si>
  <si>
    <t>TX1</t>
  </si>
  <si>
    <t>PA9</t>
  </si>
  <si>
    <t>USART1_TX</t>
  </si>
  <si>
    <t>AF7</t>
  </si>
  <si>
    <t>RX1</t>
  </si>
  <si>
    <t>PA10</t>
  </si>
  <si>
    <t>USART1_RX</t>
  </si>
  <si>
    <t>IN</t>
  </si>
  <si>
    <t>FLASH_SPI_NSS</t>
  </si>
  <si>
    <t>PB12</t>
  </si>
  <si>
    <t>SPI2_NSS / GPIO CS</t>
  </si>
  <si>
    <t>AF5（如使用硬件NSS）</t>
  </si>
  <si>
    <t>W25Q64</t>
  </si>
  <si>
    <t>FLASH_SPI_CLK</t>
  </si>
  <si>
    <t>PB13</t>
  </si>
  <si>
    <t>SPI2_SCK</t>
  </si>
  <si>
    <t>AF5</t>
  </si>
  <si>
    <t>FLASH_SPI_MISO</t>
  </si>
  <si>
    <t>PB14</t>
  </si>
  <si>
    <t>SPI2_MISO</t>
  </si>
  <si>
    <t>FLASH_SPI_MOSI</t>
  </si>
  <si>
    <t>PB15</t>
  </si>
  <si>
    <t>SPI2_MOSI</t>
  </si>
  <si>
    <t>LCD_CLK</t>
  </si>
  <si>
    <t>PA5</t>
  </si>
  <si>
    <t>SPI1_SCK</t>
  </si>
  <si>
    <t>LCD屏幕</t>
  </si>
  <si>
    <t>Ref 8/9；具体 MCU 接线来自当前人工 Pinout</t>
  </si>
  <si>
    <t>LCD_MOSI</t>
  </si>
  <si>
    <t>PA7</t>
  </si>
  <si>
    <t>SPI1_MOSI</t>
  </si>
  <si>
    <t>LCD_RST</t>
  </si>
  <si>
    <t>PB10</t>
  </si>
  <si>
    <t>GPIO Output / LCD Reset</t>
  </si>
  <si>
    <t>LOW（Reset）</t>
  </si>
  <si>
    <t>LCD_BLCAK</t>
  </si>
  <si>
    <t>PA1</t>
  </si>
  <si>
    <t>GPIO/PWM Output / Backlight</t>
  </si>
  <si>
    <t>LCD_CS</t>
  </si>
  <si>
    <t>PA4</t>
  </si>
  <si>
    <t>GPIO Output / LCD CS</t>
  </si>
  <si>
    <t>LCD_DC</t>
  </si>
  <si>
    <t>PA6</t>
  </si>
  <si>
    <t>GPIO Output / Data-Command</t>
  </si>
  <si>
    <t>ISS-001</t>
  </si>
  <si>
    <t>Storage / Flash</t>
  </si>
  <si>
    <t>Project Owner</t>
  </si>
  <si>
    <t>Resource 2 / Ref 4</t>
  </si>
  <si>
    <t>ISS-002</t>
  </si>
  <si>
    <t>EEPROM / I2C</t>
  </si>
  <si>
    <t>Resource 3 / Ref 5</t>
  </si>
  <si>
    <t>ISS-003</t>
  </si>
  <si>
    <t>Security Device</t>
  </si>
  <si>
    <t>Resource 4</t>
  </si>
  <si>
    <t>ISS-004</t>
  </si>
  <si>
    <t>Protocol</t>
  </si>
  <si>
    <t>ISS-005</t>
  </si>
  <si>
    <t>Development Environment</t>
  </si>
  <si>
    <r>
      <t>开发环境基线</t>
    </r>
    <r>
      <rPr>
        <b/>
        <sz val="11"/>
        <color rgb="FFFFFFFF"/>
        <rFont val="Carlito"/>
        <family val="2"/>
      </rPr>
      <t xml:space="preserve"> / Development Environment Baseline</t>
    </r>
  </si>
  <si>
    <r>
      <t>工具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组件
</t>
    </r>
    <r>
      <rPr>
        <b/>
        <sz val="11"/>
        <rFont val="Carlito"/>
        <family val="2"/>
      </rPr>
      <t>Tool / Component</t>
    </r>
  </si>
  <si>
    <r>
      <t xml:space="preserve">版本
</t>
    </r>
    <r>
      <rPr>
        <b/>
        <sz val="11"/>
        <rFont val="Carlito"/>
        <family val="2"/>
      </rPr>
      <t>Version</t>
    </r>
  </si>
  <si>
    <r>
      <t xml:space="preserve">用途
</t>
    </r>
    <r>
      <rPr>
        <b/>
        <sz val="11"/>
        <rFont val="Carlito"/>
        <family val="2"/>
      </rPr>
      <t>Purpose</t>
    </r>
  </si>
  <si>
    <r>
      <t>安装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来源
</t>
    </r>
    <r>
      <rPr>
        <b/>
        <sz val="11"/>
        <rFont val="Carlito"/>
        <family val="2"/>
      </rPr>
      <t>Install / Source</t>
    </r>
  </si>
  <si>
    <r>
      <t xml:space="preserve">关键配置
</t>
    </r>
    <r>
      <rPr>
        <b/>
        <sz val="11"/>
        <rFont val="Carlito"/>
        <family val="2"/>
      </rPr>
      <t>Key Configuration</t>
    </r>
  </si>
  <si>
    <r>
      <t>验证命令</t>
    </r>
    <r>
      <rPr>
        <b/>
        <sz val="11"/>
        <rFont val="Carlito"/>
        <family val="2"/>
      </rPr>
      <t>/</t>
    </r>
    <r>
      <rPr>
        <b/>
        <sz val="11"/>
        <rFont val="Carlito"/>
      </rPr>
      <t xml:space="preserve">方法
</t>
    </r>
    <r>
      <rPr>
        <b/>
        <sz val="11"/>
        <rFont val="Carlito"/>
        <family val="2"/>
      </rPr>
      <t>Verification</t>
    </r>
  </si>
  <si>
    <t>烧录、调试、编辑工具</t>
  </si>
  <si>
    <t>Keil MDK</t>
  </si>
  <si>
    <t>V5.38</t>
  </si>
  <si>
    <t>编辑代码，烧录代码，调试</t>
  </si>
  <si>
    <t>官方</t>
  </si>
  <si>
    <t>烧录、调试工具</t>
  </si>
  <si>
    <t>J-Link Software</t>
  </si>
  <si>
    <t>V7.92</t>
  </si>
  <si>
    <t>烧录代码，rtt通道</t>
  </si>
  <si>
    <t>代码编辑、管理工具</t>
  </si>
  <si>
    <t>Visual Studio Code</t>
  </si>
  <si>
    <r>
      <rPr>
        <sz val="11"/>
        <rFont val="微软雅黑"/>
        <family val="2"/>
      </rPr>
      <t>编辑代码</t>
    </r>
    <r>
      <rPr>
        <sz val="11"/>
        <rFont val="Carlito"/>
        <family val="2"/>
      </rPr>
      <t>，管理代码</t>
    </r>
  </si>
  <si>
    <t>AI工具</t>
  </si>
  <si>
    <t>Codex</t>
  </si>
  <si>
    <t>辅助开发</t>
  </si>
  <si>
    <t>调试助手</t>
  </si>
  <si>
    <t>正点原子串口调试助手</t>
  </si>
  <si>
    <t>V2.8</t>
  </si>
  <si>
    <t>串口通信信息查看</t>
  </si>
  <si>
    <t>社区网站</t>
  </si>
  <si>
    <t>日志助手</t>
  </si>
  <si>
    <t>SEGGER RTT Viewer</t>
  </si>
  <si>
    <t>查看日志</t>
  </si>
  <si>
    <t>代码版本管理工具</t>
  </si>
  <si>
    <t>Git</t>
  </si>
  <si>
    <t>管理代码</t>
  </si>
  <si>
    <t>代码仓库</t>
  </si>
  <si>
    <t>GitHub</t>
  </si>
  <si>
    <t>管理、存放代码</t>
  </si>
  <si>
    <t>工程配置工具 / Project Configuration</t>
  </si>
  <si>
    <t>STM32CubeMX</t>
  </si>
  <si>
    <t>创建/维护 MCU 外设、时钟和基础工程配置</t>
  </si>
  <si>
    <t>ST 官方 / ST Official</t>
  </si>
  <si>
    <t>[AI补充] 请人工填写实际版本；不要填写 latest。</t>
  </si>
  <si>
    <t>RTOS</t>
  </si>
  <si>
    <t>FreeRTOS</t>
  </si>
  <si>
    <t>Application 实时操作系统</t>
  </si>
  <si>
    <t>ST Cube Package / FreeRTOS</t>
  </si>
  <si>
    <t>[AI补充] 需记录 FreeRTOS 具体版本及来源包版本。</t>
  </si>
  <si>
    <t>协议资料 / Protocol Reference</t>
  </si>
  <si>
    <t>Ymodem</t>
  </si>
  <si>
    <t>OTA Firmware Transfer 协议依据</t>
  </si>
  <si>
    <t>01_Reference/Protocols</t>
  </si>
  <si>
    <t>[AI补充] 当前缺少已登记的权威协议资料，已同步到 ISS-004。</t>
  </si>
  <si>
    <t>编译器 / Compiler</t>
  </si>
  <si>
    <t>ARM Compiler</t>
  </si>
  <si>
    <t>Keil 工程编译</t>
  </si>
  <si>
    <t>[AI补充] 需确认工程实际使用 ARM Compiler 5 还是 6，以及精确版本。</t>
  </si>
  <si>
    <t>MCU SDK</t>
  </si>
  <si>
    <t>STM32CubeF4 / HAL</t>
  </si>
  <si>
    <t>STM32F4 Application 外设库与设备支持包</t>
  </si>
  <si>
    <t>[AI补充] 记录实际 CubeF4 Package/HAL 版本；Bootloader 后续是否使用 HAL 由设计阶段决定。</t>
  </si>
  <si>
    <t>MCU Core</t>
  </si>
  <si>
    <t>CMSIS</t>
  </si>
  <si>
    <t>Cortex-M4 核心定义、启动和寄存器接口</t>
  </si>
  <si>
    <t>Arm / ST Cube Package</t>
  </si>
  <si>
    <t>[AI补充] 需记录实际 CMSIS 版本。</t>
  </si>
  <si>
    <t>脚本环境 / Scripting</t>
  </si>
  <si>
    <t>Python</t>
  </si>
  <si>
    <t>Firmware 打包、CRC/Hash、升级包及 Host 工具脚本</t>
  </si>
  <si>
    <t>Python.org / 系统环境</t>
  </si>
  <si>
    <t>[AI补充] 后续 Host/打包工具建议固定 Python 主版本和依赖。</t>
  </si>
  <si>
    <t>维护原则 / Maintenance</t>
  </si>
  <si>
    <t>自动补充的数据必须带有可追溯依据；没有充分证据的内容继续使用 ASSUMED / UNKNOWN，不因“看起来合理”而升级为 CONFIRMED。</t>
  </si>
  <si>
    <t>Automatically supplemented data must remain traceable to evidence. Keep insufficiently verified items as ASSUMED / UNKNOWN rather than promoting them to CONFIRMED merely because they appear reasonable.</t>
  </si>
  <si>
    <t>实物型号已人工核对为 W25Q64JVSSIQ；本项目以该规格书作为外部 SPI NOR Flash 的正式器件依据。</t>
  </si>
  <si>
    <t>实物无法可靠识别具体厂家；项目约定以此 AT24C02 规格书作为 EEPROM 软件参数和时序设计的正式参考依据。</t>
  </si>
  <si>
    <t>仓库已保存开发板原理图；来源组织及 V3.1 标识的正式含义仍待确认。</t>
  </si>
  <si>
    <t>1.69 inch，240×280，4-line SPI，Drive IC: ST7789T3。</t>
  </si>
  <si>
    <t>记录 3.3V 供电、4-wire SPI 连接及建议 10–40MHz SPI 时钟。</t>
  </si>
  <si>
    <t>W25Q64JVSSIQ</t>
  </si>
  <si>
    <t>3.3 V</t>
  </si>
  <si>
    <t>实物型号已人工核对；PB12~PB15 对应 SPI2。</t>
  </si>
  <si>
    <t>A0/A1/A2 均接 GND，WP 接 GND；7-bit 地址 0x50。项目以 Ref 5 数据手册作为 AT24C02 正式参数依据。</t>
  </si>
  <si>
    <t>STM32 外设实例为 USART1；HC-05 通过 UART 串行通信。</t>
  </si>
  <si>
    <t>LCD 显示采用 SPI1；电容触摸功能另需 I2C/中断/复位信号，具体触摸 MCU 连接仍待确认。</t>
  </si>
  <si>
    <t>当前项目按 J-Link + SWD/RTT 使用。</t>
  </si>
  <si>
    <t>项目需求明确使用 IWDG 参与 Trial Boot / APP 启动失败检测。</t>
  </si>
  <si>
    <t>Bootloader + Application 的运行固件存储介质。</t>
  </si>
  <si>
    <t>AT24C02：SCL 经 0Ω 接 AHT_SCL；A0/A1/A2=GND；与 CK02AT 共用软件 I2C 总线。</t>
  </si>
  <si>
    <t>AT24C02：SDA 经 0Ω 接 AHT_SDA；7-bit 地址由 A2:A0=000 确定为 0x50。</t>
  </si>
  <si>
    <t>Memory</t>
  </si>
  <si>
    <t>Internal Flash</t>
  </si>
  <si>
    <t>总容量 / Capacity</t>
  </si>
  <si>
    <t>KB</t>
  </si>
  <si>
    <t>Bootloader / Application</t>
  </si>
  <si>
    <t>STM32F411 Datasheet / Reference Manual (Ref 1, 3)</t>
  </si>
  <si>
    <t>作为后续 Memory Layout 的物理输入。</t>
  </si>
  <si>
    <t>物理 Sector 结构 / Physical sector layout</t>
  </si>
  <si>
    <t>4×16KB + 1×64KB + 3×128KB</t>
  </si>
  <si>
    <t>1</t>
  </si>
  <si>
    <t>STM32F411 Reference Manual (Ref 1)</t>
  </si>
  <si>
    <t>仅记录物理擦除粒度，不在准备阶段定义 Bootloader/APP 软件分区。</t>
  </si>
  <si>
    <t>SPI NOR Flash</t>
  </si>
  <si>
    <t>精确型号 / Exact part number</t>
  </si>
  <si>
    <t>Device Identification</t>
  </si>
  <si>
    <t>4</t>
  </si>
  <si>
    <t>实物丝印人工核对 + Ref 4</t>
  </si>
  <si>
    <t>精确型号已人工确认。</t>
  </si>
  <si>
    <t>板级实际供电 / Board supply</t>
  </si>
  <si>
    <t>V</t>
  </si>
  <si>
    <t>Board Interface</t>
  </si>
  <si>
    <t>用户确认 3.3V + Ref 4</t>
  </si>
  <si>
    <t>实际供电 3.3V，位于器件允许范围内。</t>
  </si>
  <si>
    <t>器件允许工作电压 / Operating range</t>
  </si>
  <si>
    <t>2.7–3.6</t>
  </si>
  <si>
    <t>W25Q64JVSSIQ Datasheet (Ref 4)</t>
  </si>
  <si>
    <t>容量 / Capacity</t>
  </si>
  <si>
    <t>MiB</t>
  </si>
  <si>
    <t>OTA Image Storage</t>
  </si>
  <si>
    <t>Page Program Size</t>
  </si>
  <si>
    <t>Byte</t>
  </si>
  <si>
    <t>Flash Driver</t>
  </si>
  <si>
    <t>Sector Erase Size</t>
  </si>
  <si>
    <t>KiB</t>
  </si>
  <si>
    <t>Block Erase Size</t>
  </si>
  <si>
    <t>32 / 64</t>
  </si>
  <si>
    <t>Standard SPI 最大时钟 / Max clock</t>
  </si>
  <si>
    <t>MHz</t>
  </si>
  <si>
    <t>SPI Configuration</t>
  </si>
  <si>
    <t>器件能力上限，不等于项目实际配置值。</t>
  </si>
  <si>
    <t>Read JEDEC ID Command</t>
  </si>
  <si>
    <t>0x9F</t>
  </si>
  <si>
    <t>Bring-up / Identification</t>
  </si>
  <si>
    <t>后续 Bring-up 可作为驱动初始化自检，不再作为型号确认前置条件。</t>
  </si>
  <si>
    <t>EEPROM / Software I2C</t>
  </si>
  <si>
    <t>PB6/PB7</t>
  </si>
  <si>
    <t>5、7</t>
  </si>
  <si>
    <t>用户确认 3.3V + 开发板原理图 (Ref 7)</t>
  </si>
  <si>
    <t>项目以 Ref 5 作为 AT24C02 正式器件参数依据。</t>
  </si>
  <si>
    <t>Metadata / Persistent State</t>
  </si>
  <si>
    <t>5</t>
  </si>
  <si>
    <t>AT24C02 Datasheet (Ref 5)</t>
  </si>
  <si>
    <t>Page Size</t>
  </si>
  <si>
    <t>EEPROM Driver</t>
  </si>
  <si>
    <t>内部写周期最大值 / Max write cycle</t>
  </si>
  <si>
    <t>ms</t>
  </si>
  <si>
    <t>1.8–5.5</t>
  </si>
  <si>
    <t>地址脚 / Address pins</t>
  </si>
  <si>
    <t>A2=A1=A0=GND</t>
  </si>
  <si>
    <t>Addressing</t>
  </si>
  <si>
    <t>7</t>
  </si>
  <si>
    <t>开发板原理图 U8 (Ref 7)</t>
  </si>
  <si>
    <t>地址脚固定为 000。</t>
  </si>
  <si>
    <t>7-bit I2C Address</t>
  </si>
  <si>
    <t>0x50</t>
  </si>
  <si>
    <t>Ref 5 地址格式 + Ref 7 原理图</t>
  </si>
  <si>
    <t>对应 8-bit Write=0xA0，Read=0xA1。</t>
  </si>
  <si>
    <t>WP 硬件写保护 / Hardware write protect</t>
  </si>
  <si>
    <t>WP=GND / Disabled</t>
  </si>
  <si>
    <t>硬件写保护关闭，允许正常写入。</t>
  </si>
  <si>
    <t>板级网络名 / Board net names</t>
  </si>
  <si>
    <t>AHT_SCL / AHT_SDA</t>
  </si>
  <si>
    <t>开发板原理图 U8，R26/R29=0Ω (Ref 7)</t>
  </si>
  <si>
    <t>EEPROM 经 0Ω 电阻接入该软件 I2C 总线。</t>
  </si>
  <si>
    <t>UART</t>
  </si>
  <si>
    <t>USART1</t>
  </si>
  <si>
    <t>默认串口格式 / Default UART</t>
  </si>
  <si>
    <t>38400, 8N1</t>
  </si>
  <si>
    <t>Bluetooth Communication</t>
  </si>
  <si>
    <t>6</t>
  </si>
  <si>
    <t>临时假设 / ASSUMED</t>
  </si>
  <si>
    <t>HC-05 Datasheet (Ref 6)</t>
  </si>
  <si>
    <t>HC-05 不同底板/固件可能不同，后续用 AT 命令实测确认。</t>
  </si>
  <si>
    <t>I/O 电压 / I/O voltage</t>
  </si>
  <si>
    <t>1.8–3.6</t>
  </si>
  <si>
    <t>P169H002-CTP</t>
  </si>
  <si>
    <t>LCD</t>
  </si>
  <si>
    <t>SPI1</t>
  </si>
  <si>
    <t>分辨率 / Resolution</t>
  </si>
  <si>
    <t>240×280</t>
  </si>
  <si>
    <t>Pixel</t>
  </si>
  <si>
    <t>Display</t>
  </si>
  <si>
    <t>8</t>
  </si>
  <si>
    <t>P169H002-CTP Spec (Ref 8)</t>
  </si>
  <si>
    <t>资源表仍标记 UNKNOWN，待确认实际模组型号。</t>
  </si>
  <si>
    <t>显示接口 / Display Interface</t>
  </si>
  <si>
    <t>4-line SPI</t>
  </si>
  <si>
    <t>Display Driver</t>
  </si>
  <si>
    <t>驱动 IC / Driver IC</t>
  </si>
  <si>
    <t>ST7789T3</t>
  </si>
  <si>
    <t>建议 SPI 时钟 / Recommended SPI clock</t>
  </si>
  <si>
    <t>10–40</t>
  </si>
  <si>
    <t>9</t>
  </si>
  <si>
    <t>屏幕模组接线说明 (Ref 9)</t>
  </si>
  <si>
    <t>配套文档建议值，不是 MCU/SPI 外设绝对上限。</t>
  </si>
  <si>
    <t>Power</t>
  </si>
  <si>
    <t>模组供电 / Module VCC</t>
  </si>
  <si>
    <t>Touch</t>
  </si>
  <si>
    <t>I2C</t>
  </si>
  <si>
    <t>触摸接口 / Touch Interface</t>
  </si>
  <si>
    <t>I2C + optional IRQ/RESET</t>
  </si>
  <si>
    <t>Touch Driver</t>
  </si>
  <si>
    <t>8、9</t>
  </si>
  <si>
    <t>P169H002-CTP Spec / 接线说明 (Ref 8, 9)</t>
  </si>
  <si>
    <t>具体触摸 MCU 引脚尚未在 Pinout 中确认。</t>
  </si>
  <si>
    <t>实物型号已经人工核对为 W25Q64JVSSIQ，与 Ref 4 数据手册一致。</t>
  </si>
  <si>
    <t>已消除型号不确定性；JEDEC ID 后续作为 Bring-up 自检项。</t>
  </si>
  <si>
    <t>已解决 / RESOLVED</t>
  </si>
  <si>
    <t>已人工核对芯片型号；后续驱动初始化时读取 0x9F JEDEC ID 作为验证。</t>
  </si>
  <si>
    <t>结论：W25Q64JVSSIQ 作为本项目正式外部 SPI NOR Flash 型号。</t>
  </si>
  <si>
    <t>确认 AT24C02 板级地址、WP 与参数依据 / Confirm EEPROM straps &amp; reference</t>
  </si>
  <si>
    <t>原理图确认 A0/A1/A2 均接 GND、WP 接 GND、VCC=3.3V；实物厂商不可可靠识别，项目约定以 Ref 5 AT24C02 数据手册作为正式参数依据。</t>
  </si>
  <si>
    <t>EEPROM 地址、写保护、电压及驱动参数依据均已明确。</t>
  </si>
  <si>
    <t>按原理图固定 7-bit 地址 0x50；WP=GND；软件参数与时序以 Ref 5 为准。</t>
  </si>
  <si>
    <t>结论：AT24C02 使用 Software I2C，地址 0x50，硬件写保护关闭，3.3V 供电。</t>
  </si>
  <si>
    <t>不阻塞当前 V1 Bootloader/OTA 主流程。</t>
  </si>
  <si>
    <t>准备阶段只需建立协议依据，不在此阶段实现 Ymodem。</t>
  </si>
  <si>
    <t>版本未知时保持 UNKNOWN，不填写 latest。</t>
  </si>
  <si>
    <r>
      <rPr>
        <b/>
        <sz val="11"/>
        <color rgb="FFFFFFFF"/>
        <rFont val="Carlito"/>
      </rPr>
      <t>软硬件接口事实</t>
    </r>
    <r>
      <rPr>
        <b/>
        <sz val="11"/>
        <color rgb="FFFFFFFF"/>
        <rFont val="Carlito"/>
        <family val="2"/>
      </rPr>
      <t xml:space="preserve"> / Hardware-Software Interface Facts</t>
    </r>
  </si>
  <si>
    <r>
      <rPr>
        <b/>
        <sz val="11"/>
        <color rgb="FF1F1F1F"/>
        <rFont val="Carlito"/>
      </rPr>
      <t>接口</t>
    </r>
    <r>
      <rPr>
        <b/>
        <sz val="11"/>
        <color rgb="FF1F1F1F"/>
        <rFont val="Carlito"/>
        <family val="2"/>
      </rPr>
      <t>ID
Interface ID</t>
    </r>
  </si>
  <si>
    <r>
      <rPr>
        <b/>
        <sz val="11"/>
        <color rgb="FF1F1F1F"/>
        <rFont val="Carlito"/>
      </rPr>
      <t>器件</t>
    </r>
    <r>
      <rPr>
        <b/>
        <sz val="11"/>
        <color rgb="FF1F1F1F"/>
        <rFont val="Carlito"/>
        <family val="2"/>
      </rPr>
      <t>/</t>
    </r>
    <r>
      <rPr>
        <b/>
        <sz val="11"/>
        <color rgb="FF1F1F1F"/>
        <rFont val="Carlito"/>
      </rPr>
      <t xml:space="preserve">模块
</t>
    </r>
    <r>
      <rPr>
        <b/>
        <sz val="11"/>
        <color rgb="FF1F1F1F"/>
        <rFont val="Carlito"/>
        <family val="2"/>
      </rPr>
      <t>Device / Module</t>
    </r>
  </si>
  <si>
    <r>
      <rPr>
        <b/>
        <sz val="11"/>
        <color rgb="FF1F1F1F"/>
        <rFont val="Carlito"/>
      </rPr>
      <t xml:space="preserve">接口类型
</t>
    </r>
    <r>
      <rPr>
        <b/>
        <sz val="11"/>
        <color rgb="FF1F1F1F"/>
        <rFont val="Carlito"/>
        <family val="2"/>
      </rPr>
      <t>Interface Type</t>
    </r>
  </si>
  <si>
    <r>
      <rPr>
        <b/>
        <sz val="11"/>
        <color rgb="FF1F1F1F"/>
        <rFont val="Carlito"/>
      </rPr>
      <t xml:space="preserve">实例
</t>
    </r>
    <r>
      <rPr>
        <b/>
        <sz val="11"/>
        <color rgb="FF1F1F1F"/>
        <rFont val="Carlito"/>
        <family val="2"/>
      </rPr>
      <t>Instance</t>
    </r>
  </si>
  <si>
    <r>
      <rPr>
        <b/>
        <sz val="11"/>
        <color rgb="FF1F1F1F"/>
        <rFont val="Carlito"/>
      </rPr>
      <t>参数</t>
    </r>
    <r>
      <rPr>
        <b/>
        <sz val="11"/>
        <color rgb="FF1F1F1F"/>
        <rFont val="Carlito"/>
        <family val="2"/>
      </rPr>
      <t>/</t>
    </r>
    <r>
      <rPr>
        <b/>
        <sz val="11"/>
        <color rgb="FF1F1F1F"/>
        <rFont val="Carlito"/>
      </rPr>
      <t xml:space="preserve">约束
</t>
    </r>
    <r>
      <rPr>
        <b/>
        <sz val="11"/>
        <color rgb="FF1F1F1F"/>
        <rFont val="Carlito"/>
        <family val="2"/>
      </rPr>
      <t>Parameter / Constraint</t>
    </r>
  </si>
  <si>
    <r>
      <rPr>
        <b/>
        <sz val="11"/>
        <color rgb="FF1F1F1F"/>
        <rFont val="Carlito"/>
      </rPr>
      <t xml:space="preserve">值
</t>
    </r>
    <r>
      <rPr>
        <b/>
        <sz val="11"/>
        <color rgb="FF1F1F1F"/>
        <rFont val="Carlito"/>
        <family val="2"/>
      </rPr>
      <t>Value</t>
    </r>
  </si>
  <si>
    <r>
      <rPr>
        <b/>
        <sz val="11"/>
        <color rgb="FF1F1F1F"/>
        <rFont val="Carlito"/>
      </rPr>
      <t xml:space="preserve">单位
</t>
    </r>
    <r>
      <rPr>
        <b/>
        <sz val="11"/>
        <color rgb="FF1F1F1F"/>
        <rFont val="Carlito"/>
        <family val="2"/>
      </rPr>
      <t>Unit</t>
    </r>
  </si>
  <si>
    <r>
      <rPr>
        <b/>
        <sz val="11"/>
        <color rgb="FF1F1F1F"/>
        <rFont val="Carlito"/>
      </rPr>
      <t xml:space="preserve">适用方向
</t>
    </r>
    <r>
      <rPr>
        <b/>
        <sz val="11"/>
        <color rgb="FF1F1F1F"/>
        <rFont val="Carlito"/>
        <family val="2"/>
      </rPr>
      <t>Applies To</t>
    </r>
  </si>
  <si>
    <r>
      <rPr>
        <b/>
        <sz val="11"/>
        <color rgb="FF1F1F1F"/>
        <rFont val="Carlito"/>
      </rPr>
      <t>资料</t>
    </r>
    <r>
      <rPr>
        <b/>
        <sz val="11"/>
        <color rgb="FF1F1F1F"/>
        <rFont val="Carlito"/>
        <family val="2"/>
      </rPr>
      <t>ID
Reference ID</t>
    </r>
  </si>
  <si>
    <r>
      <rPr>
        <b/>
        <sz val="11"/>
        <color rgb="FF1F1F1F"/>
        <rFont val="Carlito"/>
      </rPr>
      <t xml:space="preserve">状态
</t>
    </r>
    <r>
      <rPr>
        <b/>
        <sz val="11"/>
        <color rgb="FF1F1F1F"/>
        <rFont val="Carlito"/>
        <family val="2"/>
      </rPr>
      <t>Status</t>
    </r>
  </si>
  <si>
    <r>
      <rPr>
        <b/>
        <sz val="11"/>
        <color rgb="FF1F1F1F"/>
        <rFont val="Carlito"/>
      </rPr>
      <t>验证</t>
    </r>
    <r>
      <rPr>
        <b/>
        <sz val="11"/>
        <color rgb="FF1F1F1F"/>
        <rFont val="Carlito"/>
        <family val="2"/>
      </rPr>
      <t>/</t>
    </r>
    <r>
      <rPr>
        <b/>
        <sz val="11"/>
        <color rgb="FF1F1F1F"/>
        <rFont val="Carlito"/>
      </rPr>
      <t xml:space="preserve">证据
</t>
    </r>
    <r>
      <rPr>
        <b/>
        <sz val="11"/>
        <color rgb="FF1F1F1F"/>
        <rFont val="Carlito"/>
        <family val="2"/>
      </rPr>
      <t>Verification / Evidence</t>
    </r>
  </si>
  <si>
    <r>
      <rPr>
        <b/>
        <sz val="11"/>
        <color rgb="FF1F1F1F"/>
        <rFont val="Carlito"/>
      </rPr>
      <t xml:space="preserve">备注
</t>
    </r>
    <r>
      <rPr>
        <b/>
        <sz val="11"/>
        <color rgb="FF1F1F1F"/>
        <rFont val="Carlito"/>
        <family val="2"/>
      </rPr>
      <t>Notes</t>
    </r>
  </si>
  <si>
    <r>
      <rPr>
        <b/>
        <sz val="11"/>
        <color rgb="FFFFFFFF"/>
        <rFont val="Carlito"/>
      </rPr>
      <t>硬件待确认事项</t>
    </r>
    <r>
      <rPr>
        <b/>
        <sz val="11"/>
        <color rgb="FFFFFFFF"/>
        <rFont val="Carlito"/>
        <family val="2"/>
      </rPr>
      <t xml:space="preserve"> / Hardware Open Issues</t>
    </r>
  </si>
  <si>
    <r>
      <rPr>
        <b/>
        <sz val="11"/>
        <color rgb="FF1F1F1F"/>
        <rFont val="Carlito"/>
      </rPr>
      <t>问题</t>
    </r>
    <r>
      <rPr>
        <b/>
        <sz val="11"/>
        <color rgb="FF1F1F1F"/>
        <rFont val="Carlito"/>
        <family val="2"/>
      </rPr>
      <t>ID
Issue ID</t>
    </r>
  </si>
  <si>
    <r>
      <rPr>
        <b/>
        <sz val="11"/>
        <color rgb="FF1F1F1F"/>
        <rFont val="Carlito"/>
      </rPr>
      <t xml:space="preserve">标题
</t>
    </r>
    <r>
      <rPr>
        <b/>
        <sz val="11"/>
        <color rgb="FF1F1F1F"/>
        <rFont val="Carlito"/>
        <family val="2"/>
      </rPr>
      <t>Title</t>
    </r>
  </si>
  <si>
    <r>
      <rPr>
        <b/>
        <sz val="11"/>
        <color rgb="FF1F1F1F"/>
        <rFont val="Carlito"/>
      </rPr>
      <t xml:space="preserve">类别
</t>
    </r>
    <r>
      <rPr>
        <b/>
        <sz val="11"/>
        <color rgb="FF1F1F1F"/>
        <rFont val="Carlito"/>
        <family val="2"/>
      </rPr>
      <t>Category</t>
    </r>
  </si>
  <si>
    <r>
      <rPr>
        <b/>
        <sz val="11"/>
        <color rgb="FF1F1F1F"/>
        <rFont val="Carlito"/>
      </rPr>
      <t xml:space="preserve">问题描述
</t>
    </r>
    <r>
      <rPr>
        <b/>
        <sz val="11"/>
        <color rgb="FF1F1F1F"/>
        <rFont val="Carlito"/>
        <family val="2"/>
      </rPr>
      <t>Description</t>
    </r>
  </si>
  <si>
    <r>
      <rPr>
        <b/>
        <sz val="11"/>
        <color rgb="FF1F1F1F"/>
        <rFont val="Carlito"/>
      </rPr>
      <t xml:space="preserve">影响
</t>
    </r>
    <r>
      <rPr>
        <b/>
        <sz val="11"/>
        <color rgb="FF1F1F1F"/>
        <rFont val="Carlito"/>
        <family val="2"/>
      </rPr>
      <t>Impact</t>
    </r>
  </si>
  <si>
    <r>
      <rPr>
        <b/>
        <sz val="11"/>
        <color rgb="FF1F1F1F"/>
        <rFont val="Carlito"/>
      </rPr>
      <t xml:space="preserve">优先级
</t>
    </r>
    <r>
      <rPr>
        <b/>
        <sz val="11"/>
        <color rgb="FF1F1F1F"/>
        <rFont val="Carlito"/>
        <family val="2"/>
      </rPr>
      <t>Priority</t>
    </r>
  </si>
  <si>
    <r>
      <rPr>
        <b/>
        <sz val="11"/>
        <color rgb="FF1F1F1F"/>
        <rFont val="Carlito"/>
      </rPr>
      <t>所需证据</t>
    </r>
    <r>
      <rPr>
        <b/>
        <sz val="11"/>
        <color rgb="FF1F1F1F"/>
        <rFont val="Carlito"/>
        <family val="2"/>
      </rPr>
      <t>/</t>
    </r>
    <r>
      <rPr>
        <b/>
        <sz val="11"/>
        <color rgb="FF1F1F1F"/>
        <rFont val="Carlito"/>
      </rPr>
      <t xml:space="preserve">动作
</t>
    </r>
    <r>
      <rPr>
        <b/>
        <sz val="11"/>
        <color rgb="FF1F1F1F"/>
        <rFont val="Carlito"/>
        <family val="2"/>
      </rPr>
      <t>Evidence / Action</t>
    </r>
  </si>
  <si>
    <r>
      <rPr>
        <b/>
        <sz val="11"/>
        <color rgb="FF1F1F1F"/>
        <rFont val="Carlito"/>
      </rPr>
      <t xml:space="preserve">负责人
</t>
    </r>
    <r>
      <rPr>
        <b/>
        <sz val="11"/>
        <color rgb="FF1F1F1F"/>
        <rFont val="Carlito"/>
        <family val="2"/>
      </rPr>
      <t>Owner</t>
    </r>
  </si>
  <si>
    <r>
      <rPr>
        <b/>
        <sz val="11"/>
        <color rgb="FF1F1F1F"/>
        <rFont val="Carlito"/>
      </rPr>
      <t xml:space="preserve">创建日期
</t>
    </r>
    <r>
      <rPr>
        <b/>
        <sz val="11"/>
        <color rgb="FF1F1F1F"/>
        <rFont val="Carlito"/>
        <family val="2"/>
      </rPr>
      <t>Created</t>
    </r>
  </si>
  <si>
    <r>
      <rPr>
        <b/>
        <sz val="11"/>
        <color rgb="FF1F1F1F"/>
        <rFont val="Carlito"/>
      </rPr>
      <t xml:space="preserve">解决日期
</t>
    </r>
    <r>
      <rPr>
        <b/>
        <sz val="11"/>
        <color rgb="FF1F1F1F"/>
        <rFont val="Carlito"/>
        <family val="2"/>
      </rPr>
      <t>Resolved</t>
    </r>
  </si>
  <si>
    <r>
      <rPr>
        <b/>
        <sz val="11"/>
        <color rgb="FF1F1F1F"/>
        <rFont val="Carlito"/>
      </rPr>
      <t xml:space="preserve">关联项
</t>
    </r>
    <r>
      <rPr>
        <b/>
        <sz val="11"/>
        <color rgb="FF1F1F1F"/>
        <rFont val="Carlito"/>
        <family val="2"/>
      </rPr>
      <t>Related Item</t>
    </r>
  </si>
  <si>
    <r>
      <rPr>
        <b/>
        <sz val="11"/>
        <color rgb="FF1F1F1F"/>
        <rFont val="Carlito"/>
      </rPr>
      <t>结论</t>
    </r>
    <r>
      <rPr>
        <b/>
        <sz val="11"/>
        <color rgb="FF1F1F1F"/>
        <rFont val="Carlito"/>
        <family val="2"/>
      </rPr>
      <t>/</t>
    </r>
    <r>
      <rPr>
        <b/>
        <sz val="11"/>
        <color rgb="FF1F1F1F"/>
        <rFont val="Carlito"/>
      </rPr>
      <t xml:space="preserve">备注
</t>
    </r>
    <r>
      <rPr>
        <b/>
        <sz val="11"/>
        <color rgb="FF1F1F1F"/>
        <rFont val="Carlito"/>
        <family val="2"/>
      </rPr>
      <t>Resolution / Notes</t>
    </r>
  </si>
  <si>
    <r>
      <rPr>
        <sz val="11"/>
        <color rgb="FF1F1F1F"/>
        <rFont val="Carlito"/>
      </rPr>
      <t>确认板载</t>
    </r>
    <r>
      <rPr>
        <sz val="11"/>
        <color rgb="FF1F1F1F"/>
        <rFont val="Carlito"/>
        <family val="2"/>
      </rPr>
      <t xml:space="preserve"> W25Q64 </t>
    </r>
    <r>
      <rPr>
        <sz val="11"/>
        <color rgb="FF1F1F1F"/>
        <rFont val="Carlito"/>
      </rPr>
      <t>精确型号</t>
    </r>
    <r>
      <rPr>
        <sz val="11"/>
        <color rgb="FF1F1F1F"/>
        <rFont val="Carlito"/>
        <family val="2"/>
      </rPr>
      <t xml:space="preserve"> / Confirm exact SPI Flash part</t>
    </r>
  </si>
  <si>
    <r>
      <rPr>
        <sz val="11"/>
        <color rgb="FF9C0006"/>
        <rFont val="Carlito"/>
      </rPr>
      <t>高</t>
    </r>
    <r>
      <rPr>
        <sz val="11"/>
        <color rgb="FF9C0006"/>
        <rFont val="Carlito"/>
        <family val="2"/>
      </rPr>
      <t xml:space="preserve"> / HIGH</t>
    </r>
  </si>
  <si>
    <r>
      <rPr>
        <sz val="11"/>
        <color rgb="FF1F1F1F"/>
        <rFont val="Carlito"/>
      </rPr>
      <t>CK02AT 缺少可靠公开</t>
    </r>
    <r>
      <rPr>
        <sz val="11"/>
        <color rgb="FF1F1F1F"/>
        <rFont val="Carlito"/>
        <family val="2"/>
      </rPr>
      <t xml:space="preserve"> Datasheet / CK02AT datasheet unavailable</t>
    </r>
  </si>
  <si>
    <r>
      <rPr>
        <sz val="11"/>
        <color rgb="FF1F1F1F"/>
        <rFont val="Carlito"/>
      </rPr>
      <t>仓库中暂无可验证的</t>
    </r>
    <r>
      <rPr>
        <sz val="11"/>
        <color rgb="FF1F1F1F"/>
        <rFont val="Carlito"/>
        <family val="2"/>
      </rPr>
      <t xml:space="preserve"> CK02AT Datasheet/API </t>
    </r>
    <r>
      <rPr>
        <sz val="11"/>
        <color rgb="FF1F1F1F"/>
        <rFont val="Carlito"/>
      </rPr>
      <t>文档，当前只能确认板上存在该器件及软件</t>
    </r>
    <r>
      <rPr>
        <sz val="11"/>
        <color rgb="FF1F1F1F"/>
        <rFont val="Carlito"/>
        <family val="2"/>
      </rPr>
      <t xml:space="preserve"> I2C </t>
    </r>
    <r>
      <rPr>
        <sz val="11"/>
        <color rgb="FF1F1F1F"/>
        <rFont val="Carlito"/>
      </rPr>
      <t>连接计划。</t>
    </r>
  </si>
  <si>
    <r>
      <rPr>
        <sz val="11"/>
        <color rgb="FF1F1F1F"/>
        <rFont val="Carlito"/>
      </rPr>
      <t>无法可靠定义其密钥存储、加解密或认证能力；但</t>
    </r>
    <r>
      <rPr>
        <sz val="11"/>
        <color rgb="FF1F1F1F"/>
        <rFont val="Carlito"/>
        <family val="2"/>
      </rPr>
      <t xml:space="preserve"> V1 </t>
    </r>
    <r>
      <rPr>
        <sz val="11"/>
        <color rgb="FF1F1F1F"/>
        <rFont val="Carlito"/>
      </rPr>
      <t>不依赖该器件。</t>
    </r>
  </si>
  <si>
    <r>
      <rPr>
        <sz val="11"/>
        <color rgb="FF385723"/>
        <rFont val="Carlito"/>
      </rPr>
      <t>低</t>
    </r>
    <r>
      <rPr>
        <sz val="11"/>
        <color rgb="FF385723"/>
        <rFont val="Carlito"/>
        <family val="2"/>
      </rPr>
      <t xml:space="preserve"> / LOW</t>
    </r>
  </si>
  <si>
    <r>
      <rPr>
        <sz val="11"/>
        <color rgb="FF7F6000"/>
        <rFont val="Carlito"/>
      </rPr>
      <t>待处理</t>
    </r>
    <r>
      <rPr>
        <sz val="11"/>
        <color rgb="FF7F6000"/>
        <rFont val="Carlito"/>
        <family val="2"/>
      </rPr>
      <t xml:space="preserve"> / OPEN</t>
    </r>
  </si>
  <si>
    <r>
      <rPr>
        <sz val="11"/>
        <color rgb="FF1F1F1F"/>
        <rFont val="Carlito"/>
      </rPr>
      <t>后续向开发板</t>
    </r>
    <r>
      <rPr>
        <sz val="11"/>
        <color rgb="FF1F1F1F"/>
        <rFont val="Carlito"/>
        <family val="2"/>
      </rPr>
      <t>/</t>
    </r>
    <r>
      <rPr>
        <sz val="11"/>
        <color rgb="FF1F1F1F"/>
        <rFont val="Carlito"/>
      </rPr>
      <t>器件供应方索取</t>
    </r>
    <r>
      <rPr>
        <sz val="11"/>
        <color rgb="FF1F1F1F"/>
        <rFont val="Carlito"/>
        <family val="2"/>
      </rPr>
      <t xml:space="preserve"> Datasheet </t>
    </r>
    <r>
      <rPr>
        <sz val="11"/>
        <color rgb="FF1F1F1F"/>
        <rFont val="Carlito"/>
      </rPr>
      <t>或</t>
    </r>
    <r>
      <rPr>
        <sz val="11"/>
        <color rgb="FF1F1F1F"/>
        <rFont val="Carlito"/>
        <family val="2"/>
      </rPr>
      <t xml:space="preserve"> API</t>
    </r>
    <r>
      <rPr>
        <sz val="11"/>
        <color rgb="FF1F1F1F"/>
        <rFont val="Carlito"/>
      </rPr>
      <t>；在取得资料前不纳入正式</t>
    </r>
    <r>
      <rPr>
        <sz val="11"/>
        <color rgb="FF1F1F1F"/>
        <rFont val="Carlito"/>
        <family val="2"/>
      </rPr>
      <t xml:space="preserve"> OTA </t>
    </r>
    <r>
      <rPr>
        <sz val="11"/>
        <color rgb="FF1F1F1F"/>
        <rFont val="Carlito"/>
      </rPr>
      <t>安全链。</t>
    </r>
  </si>
  <si>
    <r>
      <rPr>
        <sz val="11"/>
        <color rgb="FF1F1F1F"/>
        <rFont val="Carlito"/>
      </rPr>
      <t>补充</t>
    </r>
    <r>
      <rPr>
        <sz val="11"/>
        <color rgb="FF1F1F1F"/>
        <rFont val="Carlito"/>
        <family val="2"/>
      </rPr>
      <t xml:space="preserve"> Ymodem </t>
    </r>
    <r>
      <rPr>
        <sz val="11"/>
        <color rgb="FF1F1F1F"/>
        <rFont val="Carlito"/>
      </rPr>
      <t>原始协议资料</t>
    </r>
    <r>
      <rPr>
        <sz val="11"/>
        <color rgb="FF1F1F1F"/>
        <rFont val="Carlito"/>
        <family val="2"/>
      </rPr>
      <t xml:space="preserve"> / Add authoritative Ymodem reference</t>
    </r>
  </si>
  <si>
    <r>
      <rPr>
        <sz val="11"/>
        <color rgb="FF1F1F1F"/>
        <rFont val="Carlito"/>
      </rPr>
      <t>当前环境表已有</t>
    </r>
    <r>
      <rPr>
        <sz val="11"/>
        <color rgb="FF1F1F1F"/>
        <rFont val="Carlito"/>
        <family val="2"/>
      </rPr>
      <t xml:space="preserve"> Ymodem </t>
    </r>
    <r>
      <rPr>
        <sz val="11"/>
        <color rgb="FF1F1F1F"/>
        <rFont val="Carlito"/>
      </rPr>
      <t>条目，但</t>
    </r>
    <r>
      <rPr>
        <sz val="11"/>
        <color rgb="FF1F1F1F"/>
        <rFont val="Carlito"/>
        <family val="2"/>
      </rPr>
      <t xml:space="preserve"> 01_Reference/Protocols </t>
    </r>
    <r>
      <rPr>
        <sz val="11"/>
        <color rgb="FF1F1F1F"/>
        <rFont val="Carlito"/>
      </rPr>
      <t>尚未形成可追溯的协议来源。</t>
    </r>
  </si>
  <si>
    <r>
      <rPr>
        <sz val="11"/>
        <color rgb="FF1F1F1F"/>
        <rFont val="Carlito"/>
      </rPr>
      <t>后续协议实现容易依赖博客</t>
    </r>
    <r>
      <rPr>
        <sz val="11"/>
        <color rgb="FF1F1F1F"/>
        <rFont val="Carlito"/>
        <family val="2"/>
      </rPr>
      <t>/</t>
    </r>
    <r>
      <rPr>
        <sz val="11"/>
        <color rgb="FF1F1F1F"/>
        <rFont val="Carlito"/>
      </rPr>
      <t>示例代码，难以明确包格式、</t>
    </r>
    <r>
      <rPr>
        <sz val="11"/>
        <color rgb="FF1F1F1F"/>
        <rFont val="Carlito"/>
        <family val="2"/>
      </rPr>
      <t>ACK/NAK</t>
    </r>
    <r>
      <rPr>
        <sz val="11"/>
        <color rgb="FF1F1F1F"/>
        <rFont val="Carlito"/>
      </rPr>
      <t>、超时与结束流程依据。</t>
    </r>
  </si>
  <si>
    <r>
      <rPr>
        <sz val="11"/>
        <color rgb="FF7F6000"/>
        <rFont val="Carlito"/>
      </rPr>
      <t>中</t>
    </r>
    <r>
      <rPr>
        <sz val="11"/>
        <color rgb="FF7F6000"/>
        <rFont val="Carlito"/>
        <family val="2"/>
      </rPr>
      <t xml:space="preserve"> / MEDIUM</t>
    </r>
  </si>
  <si>
    <r>
      <rPr>
        <sz val="11"/>
        <color rgb="FF1F1F1F"/>
        <rFont val="Carlito"/>
      </rPr>
      <t>收集可信</t>
    </r>
    <r>
      <rPr>
        <sz val="11"/>
        <color rgb="FF1F1F1F"/>
        <rFont val="Carlito"/>
        <family val="2"/>
      </rPr>
      <t xml:space="preserve"> Ymodem/XMODEM </t>
    </r>
    <r>
      <rPr>
        <sz val="11"/>
        <color rgb="FF1F1F1F"/>
        <rFont val="Carlito"/>
      </rPr>
      <t>协议说明并登记到</t>
    </r>
    <r>
      <rPr>
        <sz val="11"/>
        <color rgb="FF1F1F1F"/>
        <rFont val="Carlito"/>
        <family val="2"/>
      </rPr>
      <t xml:space="preserve"> 01_</t>
    </r>
    <r>
      <rPr>
        <sz val="11"/>
        <color rgb="FF1F1F1F"/>
        <rFont val="Carlito"/>
      </rPr>
      <t>资料</t>
    </r>
    <r>
      <rPr>
        <sz val="11"/>
        <color rgb="FF1F1F1F"/>
        <rFont val="Carlito"/>
        <family val="2"/>
      </rPr>
      <t>_References</t>
    </r>
    <r>
      <rPr>
        <sz val="11"/>
        <color rgb="FF1F1F1F"/>
        <rFont val="Carlito"/>
      </rPr>
      <t>。</t>
    </r>
  </si>
  <si>
    <r>
      <rPr>
        <sz val="11"/>
        <color rgb="FF1F1F1F"/>
        <rFont val="Carlito"/>
      </rPr>
      <t>06_环境</t>
    </r>
    <r>
      <rPr>
        <sz val="11"/>
        <color rgb="FF1F1F1F"/>
        <rFont val="Carlito"/>
        <family val="2"/>
      </rPr>
      <t>_Environment / Protocols</t>
    </r>
  </si>
  <si>
    <r>
      <rPr>
        <sz val="11"/>
        <color rgb="FF1F1F1F"/>
        <rFont val="Carlito"/>
      </rPr>
      <t>补齐开发工具链精确版本</t>
    </r>
    <r>
      <rPr>
        <sz val="11"/>
        <color rgb="FF1F1F1F"/>
        <rFont val="Carlito"/>
        <family val="2"/>
      </rPr>
      <t xml:space="preserve"> / Complete exact toolchain versions</t>
    </r>
  </si>
  <si>
    <r>
      <rPr>
        <sz val="11"/>
        <color rgb="FF1F1F1F"/>
        <rFont val="Carlito"/>
      </rPr>
      <t>VS Code、</t>
    </r>
    <r>
      <rPr>
        <sz val="11"/>
        <color rgb="FF1F1F1F"/>
        <rFont val="Carlito"/>
        <family val="2"/>
      </rPr>
      <t>Codex</t>
    </r>
    <r>
      <rPr>
        <sz val="11"/>
        <color rgb="FF1F1F1F"/>
        <rFont val="Carlito"/>
      </rPr>
      <t>、</t>
    </r>
    <r>
      <rPr>
        <sz val="11"/>
        <color rgb="FF1F1F1F"/>
        <rFont val="Carlito"/>
        <family val="2"/>
      </rPr>
      <t>Git</t>
    </r>
    <r>
      <rPr>
        <sz val="11"/>
        <color rgb="FF1F1F1F"/>
        <rFont val="Carlito"/>
      </rPr>
      <t>、</t>
    </r>
    <r>
      <rPr>
        <sz val="11"/>
        <color rgb="FF1F1F1F"/>
        <rFont val="Carlito"/>
        <family val="2"/>
      </rPr>
      <t>STM32CubeMX</t>
    </r>
    <r>
      <rPr>
        <sz val="11"/>
        <color rgb="FF1F1F1F"/>
        <rFont val="Carlito"/>
      </rPr>
      <t>、</t>
    </r>
    <r>
      <rPr>
        <sz val="11"/>
        <color rgb="FF1F1F1F"/>
        <rFont val="Carlito"/>
        <family val="2"/>
      </rPr>
      <t xml:space="preserve">FreeRTOS </t>
    </r>
    <r>
      <rPr>
        <sz val="11"/>
        <color rgb="FF1F1F1F"/>
        <rFont val="Carlito"/>
      </rPr>
      <t>等条目缺少精确版本或状态。</t>
    </r>
  </si>
  <si>
    <r>
      <rPr>
        <sz val="11"/>
        <color rgb="FF1F1F1F"/>
        <rFont val="Carlito"/>
      </rPr>
      <t>工程无法完全复现；后续构建问题难以区分环境差异与代码问题。</t>
    </r>
  </si>
  <si>
    <r>
      <rPr>
        <sz val="11"/>
        <color rgb="FF1F1F1F"/>
        <rFont val="Carlito"/>
      </rPr>
      <t>在本机记录</t>
    </r>
    <r>
      <rPr>
        <sz val="11"/>
        <color rgb="FF1F1F1F"/>
        <rFont val="Carlito"/>
        <family val="2"/>
      </rPr>
      <t xml:space="preserve"> `git --version`</t>
    </r>
    <r>
      <rPr>
        <sz val="11"/>
        <color rgb="FF1F1F1F"/>
        <rFont val="Carlito"/>
      </rPr>
      <t>、</t>
    </r>
    <r>
      <rPr>
        <sz val="11"/>
        <color rgb="FF1F1F1F"/>
        <rFont val="Carlito"/>
        <family val="2"/>
      </rPr>
      <t>CubeMX About</t>
    </r>
    <r>
      <rPr>
        <sz val="11"/>
        <color rgb="FF1F1F1F"/>
        <rFont val="Carlito"/>
      </rPr>
      <t>、</t>
    </r>
    <r>
      <rPr>
        <sz val="11"/>
        <color rgb="FF1F1F1F"/>
        <rFont val="Carlito"/>
        <family val="2"/>
      </rPr>
      <t xml:space="preserve">FreeRTOS/CMSIS/HAL </t>
    </r>
    <r>
      <rPr>
        <sz val="11"/>
        <color rgb="FF1F1F1F"/>
        <rFont val="Carlito"/>
      </rPr>
      <t>包版本及实际编译器版本。</t>
    </r>
  </si>
  <si>
    <r>
      <rPr>
        <sz val="11"/>
        <color rgb="FF1F1F1F"/>
        <rFont val="Carlito"/>
      </rPr>
      <t>06_环境</t>
    </r>
    <r>
      <rPr>
        <sz val="11"/>
        <color rgb="FF1F1F1F"/>
        <rFont val="Carlito"/>
        <family val="2"/>
      </rPr>
      <t>_Environment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</si>
</sst>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9">
    <font>
      <sz val="11"/>
      <name val="Carlito"/>
    </font>
    <font>
      <b/>
      <sz val="11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Carlito"/>
    </font>
    <font>
      <sz val="11"/>
      <name val="Carlito"/>
    </font>
    <font>
      <sz val="11"/>
      <name val="Arial"/>
      <family val="2"/>
    </font>
    <font>
      <b/>
      <sz val="10"/>
      <color rgb="FF1F1F1F"/>
      <name val="Aptos"/>
    </font>
    <font>
      <sz val="10"/>
      <color rgb="FF1F1F1F"/>
      <name val="Aptos"/>
    </font>
    <font>
      <b/>
      <sz val="14"/>
      <color rgb="FFFFFFFF"/>
      <name val="Aptos Display"/>
    </font>
    <font>
      <sz val="9"/>
      <color rgb="FF0563C1"/>
      <name val="Aptos"/>
    </font>
    <font>
      <b/>
      <sz val="11"/>
      <color rgb="FFFFFFFF"/>
      <name val="Carlito"/>
      <family val="2"/>
    </font>
    <font>
      <b/>
      <sz val="11"/>
      <name val="Carlito"/>
      <family val="2"/>
    </font>
    <font>
      <sz val="11"/>
      <name val="Carlito"/>
      <family val="2"/>
    </font>
    <font>
      <sz val="11"/>
      <name val="宋体"/>
      <family val="3"/>
    </font>
    <font>
      <sz val="11"/>
      <name val="微软雅黑"/>
      <family val="2"/>
    </font>
    <font>
      <b/>
      <sz val="11"/>
      <color rgb="FFFFFFFF"/>
      <name val="Aptos Display"/>
    </font>
    <font>
      <sz val="11"/>
      <color rgb="FF1F1F1F"/>
      <name val="Aptos"/>
    </font>
    <font>
      <b/>
      <sz val="11"/>
      <color rgb="FF1F1F1F"/>
      <name val="Aptos"/>
    </font>
    <font>
      <sz val="11"/>
      <color rgb="FF385723"/>
      <name val="Carlito"/>
    </font>
    <font>
      <b/>
      <sz val="11"/>
      <color rgb="FF1F1F1F"/>
      <name val="Carlito"/>
    </font>
    <font>
      <b/>
      <sz val="11"/>
      <color rgb="FF1F1F1F"/>
      <name val="Carlito"/>
      <family val="2"/>
    </font>
    <font>
      <sz val="11"/>
      <color rgb="FF1F1F1F"/>
      <name val="Carlito"/>
    </font>
    <font>
      <sz val="11"/>
      <color rgb="FF1F1F1F"/>
      <name val="Carlito"/>
      <family val="2"/>
    </font>
    <font>
      <sz val="11"/>
      <color rgb="FF9C0006"/>
      <name val="Carlito"/>
    </font>
    <font>
      <sz val="11"/>
      <color rgb="FF9C0006"/>
      <name val="Carlito"/>
      <family val="2"/>
    </font>
    <font>
      <sz val="11"/>
      <color rgb="FF385723"/>
      <name val="Carlito"/>
      <family val="2"/>
    </font>
    <font>
      <sz val="11"/>
      <color rgb="FF7F6000"/>
      <name val="Carlito"/>
    </font>
    <font>
      <sz val="11"/>
      <color rgb="FF7F6000"/>
      <name val="Carlito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FF8E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E1F2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D9E1F2"/>
      </right>
      <top style="thin">
        <color rgb="FF9FBAD0"/>
      </top>
      <bottom style="thin">
        <color rgb="FF9FBAD0"/>
      </bottom>
      <diagonal/>
    </border>
    <border>
      <left style="thin">
        <color rgb="FFD9E1F2"/>
      </left>
      <right style="thin">
        <color indexed="64"/>
      </right>
      <top style="thin">
        <color rgb="FF9FBAD0"/>
      </top>
      <bottom style="thin">
        <color rgb="FF9FBAD0"/>
      </bottom>
      <diagonal/>
    </border>
    <border>
      <left style="thin">
        <color indexed="64"/>
      </left>
      <right style="thin">
        <color indexed="64"/>
      </right>
      <top style="thin">
        <color rgb="FF9FBAD0"/>
      </top>
      <bottom style="thin">
        <color rgb="FF9FBAD0"/>
      </bottom>
      <diagonal/>
    </border>
    <border>
      <left style="thin">
        <color indexed="64"/>
      </left>
      <right style="thin">
        <color rgb="FFD9E1F2"/>
      </right>
      <top style="thin">
        <color rgb="FF9FBAD0"/>
      </top>
      <bottom style="thin">
        <color rgb="FF9FBAD0"/>
      </bottom>
      <diagonal/>
    </border>
    <border>
      <left style="thin">
        <color rgb="FFE8EDF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E8EDF3"/>
      </right>
      <top style="thin">
        <color indexed="64"/>
      </top>
      <bottom style="thin">
        <color indexed="64"/>
      </bottom>
      <diagonal/>
    </border>
    <border>
      <left style="thin">
        <color rgb="FFE8EDF3"/>
      </left>
      <right style="thin">
        <color indexed="64"/>
      </right>
      <top style="thin">
        <color indexed="64"/>
      </top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E1F2"/>
      </bottom>
      <diagonal/>
    </border>
    <border>
      <left style="thin">
        <color indexed="64"/>
      </left>
      <right style="thin">
        <color rgb="FFE8EDF3"/>
      </right>
      <top style="thin">
        <color indexed="64"/>
      </top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 style="thin">
        <color rgb="FFD9E1F2"/>
      </left>
      <right/>
      <top/>
      <bottom/>
      <diagonal/>
    </border>
    <border>
      <left/>
      <right style="thin">
        <color rgb="FFD9E1F2"/>
      </right>
      <top/>
      <bottom/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</borders>
  <cellStyleXfs count="2">
    <xf numFmtId="0" fontId="0" fillId="0" borderId="0"/>
    <xf numFmtId="0" fontId="2" fillId="0" borderId="0"/>
  </cellStyleXfs>
  <cellXfs count="79">
    <xf numFmtId="0" fontId="0" fillId="0" borderId="0" xfId="0"/>
    <xf numFmtId="0" fontId="5" fillId="0" borderId="0" xfId="0" applyFont="1"/>
    <xf numFmtId="0" fontId="0" fillId="0" borderId="1" xfId="0" applyBorder="1"/>
    <xf numFmtId="176" fontId="0" fillId="0" borderId="1" xfId="1" applyNumberFormat="1" applyFont="1" applyBorder="1"/>
    <xf numFmtId="0" fontId="8" fillId="0" borderId="0" xfId="0" applyFont="1" applyAlignment="1">
      <alignment vertical="top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top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top" wrapText="1"/>
    </xf>
    <xf numFmtId="0" fontId="8" fillId="4" borderId="10" xfId="0" applyFont="1" applyFill="1" applyBorder="1" applyAlignment="1">
      <alignment vertical="top" wrapText="1"/>
    </xf>
    <xf numFmtId="0" fontId="8" fillId="4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8" fillId="5" borderId="1" xfId="0" applyFont="1" applyFill="1" applyBorder="1" applyAlignment="1">
      <alignment vertical="top" wrapText="1"/>
    </xf>
    <xf numFmtId="0" fontId="8" fillId="5" borderId="10" xfId="0" applyFont="1" applyFill="1" applyBorder="1" applyAlignment="1">
      <alignment vertical="top" wrapText="1"/>
    </xf>
    <xf numFmtId="0" fontId="7" fillId="0" borderId="15" xfId="0" applyFont="1" applyBorder="1" applyAlignment="1">
      <alignment vertical="top" wrapText="1"/>
    </xf>
    <xf numFmtId="0" fontId="8" fillId="0" borderId="16" xfId="0" applyFont="1" applyBorder="1" applyAlignment="1">
      <alignment vertical="top" wrapText="1"/>
    </xf>
    <xf numFmtId="0" fontId="7" fillId="6" borderId="17" xfId="0" applyFont="1" applyFill="1" applyBorder="1" applyAlignment="1">
      <alignment vertical="top" wrapText="1"/>
    </xf>
    <xf numFmtId="0" fontId="7" fillId="6" borderId="14" xfId="0" applyFont="1" applyFill="1" applyBorder="1" applyAlignment="1">
      <alignment vertical="top" wrapText="1"/>
    </xf>
    <xf numFmtId="0" fontId="7" fillId="6" borderId="18" xfId="0" applyFont="1" applyFill="1" applyBorder="1" applyAlignment="1">
      <alignment vertical="top" wrapText="1"/>
    </xf>
    <xf numFmtId="0" fontId="8" fillId="4" borderId="9" xfId="0" applyFont="1" applyFill="1" applyBorder="1" applyAlignment="1">
      <alignment horizontal="center" vertical="top" wrapText="1"/>
    </xf>
    <xf numFmtId="0" fontId="8" fillId="5" borderId="9" xfId="0" applyFont="1" applyFill="1" applyBorder="1" applyAlignment="1">
      <alignment horizontal="center" vertical="top" wrapText="1"/>
    </xf>
    <xf numFmtId="0" fontId="8" fillId="4" borderId="11" xfId="0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center" vertical="top" wrapText="1"/>
    </xf>
    <xf numFmtId="0" fontId="8" fillId="5" borderId="1" xfId="0" applyFont="1" applyFill="1" applyBorder="1" applyAlignment="1">
      <alignment horizontal="center" vertical="top" wrapText="1"/>
    </xf>
    <xf numFmtId="0" fontId="8" fillId="4" borderId="12" xfId="0" applyFont="1" applyFill="1" applyBorder="1" applyAlignment="1">
      <alignment horizontal="center" vertical="top" wrapText="1"/>
    </xf>
    <xf numFmtId="176" fontId="8" fillId="4" borderId="1" xfId="0" applyNumberFormat="1" applyFont="1" applyFill="1" applyBorder="1" applyAlignment="1">
      <alignment horizontal="center" vertical="top" wrapText="1"/>
    </xf>
    <xf numFmtId="176" fontId="8" fillId="5" borderId="1" xfId="0" applyNumberFormat="1" applyFont="1" applyFill="1" applyBorder="1" applyAlignment="1">
      <alignment horizontal="center" vertical="top" wrapText="1"/>
    </xf>
    <xf numFmtId="176" fontId="8" fillId="4" borderId="12" xfId="0" applyNumberFormat="1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vertical="top" wrapText="1"/>
    </xf>
    <xf numFmtId="0" fontId="10" fillId="5" borderId="1" xfId="0" applyFont="1" applyFill="1" applyBorder="1" applyAlignment="1">
      <alignment vertical="top" wrapText="1"/>
    </xf>
    <xf numFmtId="0" fontId="10" fillId="4" borderId="12" xfId="0" applyFont="1" applyFill="1" applyBorder="1" applyAlignment="1">
      <alignment vertical="top" wrapText="1"/>
    </xf>
    <xf numFmtId="0" fontId="9" fillId="2" borderId="0" xfId="0" applyFont="1" applyFill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0" fillId="0" borderId="1" xfId="0" applyFont="1" applyBorder="1"/>
    <xf numFmtId="0" fontId="17" fillId="0" borderId="1" xfId="0" applyFont="1" applyBorder="1" applyAlignment="1">
      <alignment vertical="top" wrapText="1"/>
    </xf>
    <xf numFmtId="0" fontId="18" fillId="3" borderId="6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8" fillId="3" borderId="8" xfId="0" applyFont="1" applyFill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center" vertical="top" wrapText="1"/>
    </xf>
    <xf numFmtId="0" fontId="17" fillId="4" borderId="1" xfId="0" applyFont="1" applyFill="1" applyBorder="1" applyAlignment="1">
      <alignment vertical="top" wrapText="1"/>
    </xf>
    <xf numFmtId="0" fontId="17" fillId="4" borderId="1" xfId="0" applyFont="1" applyFill="1" applyBorder="1" applyAlignment="1">
      <alignment horizontal="center" vertical="top" wrapText="1"/>
    </xf>
    <xf numFmtId="0" fontId="17" fillId="4" borderId="10" xfId="0" applyFont="1" applyFill="1" applyBorder="1" applyAlignment="1">
      <alignment vertical="top" wrapText="1"/>
    </xf>
    <xf numFmtId="0" fontId="17" fillId="5" borderId="9" xfId="0" applyFont="1" applyFill="1" applyBorder="1" applyAlignment="1">
      <alignment horizontal="center" vertical="top" wrapText="1"/>
    </xf>
    <xf numFmtId="0" fontId="17" fillId="5" borderId="1" xfId="0" applyFont="1" applyFill="1" applyBorder="1" applyAlignment="1">
      <alignment vertical="top" wrapText="1"/>
    </xf>
    <xf numFmtId="0" fontId="17" fillId="5" borderId="1" xfId="0" applyFont="1" applyFill="1" applyBorder="1" applyAlignment="1">
      <alignment horizontal="center" vertical="top" wrapText="1"/>
    </xf>
    <xf numFmtId="0" fontId="17" fillId="5" borderId="10" xfId="0" applyFont="1" applyFill="1" applyBorder="1" applyAlignment="1">
      <alignment vertical="top" wrapText="1"/>
    </xf>
    <xf numFmtId="0" fontId="17" fillId="5" borderId="11" xfId="0" applyFont="1" applyFill="1" applyBorder="1" applyAlignment="1">
      <alignment horizontal="center" vertical="top" wrapText="1"/>
    </xf>
    <xf numFmtId="0" fontId="17" fillId="5" borderId="12" xfId="0" applyFont="1" applyFill="1" applyBorder="1" applyAlignment="1">
      <alignment vertical="top" wrapText="1"/>
    </xf>
    <xf numFmtId="0" fontId="17" fillId="5" borderId="12" xfId="0" applyFont="1" applyFill="1" applyBorder="1" applyAlignment="1">
      <alignment horizontal="center" vertical="top" wrapText="1"/>
    </xf>
    <xf numFmtId="0" fontId="17" fillId="5" borderId="13" xfId="0" applyFont="1" applyFill="1" applyBorder="1" applyAlignment="1">
      <alignment vertical="top" wrapText="1"/>
    </xf>
    <xf numFmtId="0" fontId="0" fillId="0" borderId="1" xfId="0" applyFont="1" applyBorder="1" applyAlignment="1">
      <alignment horizontal="left"/>
    </xf>
    <xf numFmtId="0" fontId="16" fillId="2" borderId="2" xfId="0" applyFont="1" applyFill="1" applyBorder="1" applyAlignment="1">
      <alignment horizontal="left" vertical="center" wrapText="1"/>
    </xf>
    <xf numFmtId="0" fontId="0" fillId="0" borderId="2" xfId="0" applyFont="1" applyBorder="1"/>
    <xf numFmtId="0" fontId="17" fillId="0" borderId="2" xfId="0" applyFont="1" applyBorder="1" applyAlignment="1">
      <alignment vertical="top" wrapText="1"/>
    </xf>
    <xf numFmtId="0" fontId="17" fillId="0" borderId="2" xfId="0" applyFont="1" applyBorder="1" applyAlignment="1">
      <alignment horizontal="right" vertical="top" wrapText="1"/>
    </xf>
    <xf numFmtId="0" fontId="18" fillId="3" borderId="2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top" wrapText="1"/>
    </xf>
    <xf numFmtId="0" fontId="17" fillId="4" borderId="2" xfId="0" applyFont="1" applyFill="1" applyBorder="1" applyAlignment="1">
      <alignment vertical="top" wrapText="1"/>
    </xf>
    <xf numFmtId="0" fontId="17" fillId="4" borderId="2" xfId="0" applyFont="1" applyFill="1" applyBorder="1" applyAlignment="1">
      <alignment horizontal="right" vertical="top" wrapText="1"/>
    </xf>
    <xf numFmtId="0" fontId="17" fillId="5" borderId="2" xfId="0" applyFont="1" applyFill="1" applyBorder="1" applyAlignment="1">
      <alignment horizontal="center" vertical="top" wrapText="1"/>
    </xf>
    <xf numFmtId="0" fontId="17" fillId="5" borderId="2" xfId="0" applyFont="1" applyFill="1" applyBorder="1" applyAlignment="1">
      <alignment vertical="top" wrapText="1"/>
    </xf>
    <xf numFmtId="0" fontId="17" fillId="5" borderId="2" xfId="0" applyFont="1" applyFill="1" applyBorder="1" applyAlignment="1">
      <alignment horizontal="right" vertical="top" wrapText="1"/>
    </xf>
    <xf numFmtId="0" fontId="0" fillId="0" borderId="2" xfId="0" applyFont="1" applyBorder="1" applyAlignment="1">
      <alignment horizontal="right"/>
    </xf>
    <xf numFmtId="176" fontId="17" fillId="4" borderId="1" xfId="0" applyNumberFormat="1" applyFont="1" applyFill="1" applyBorder="1" applyAlignment="1">
      <alignment horizontal="center" vertical="top" wrapText="1"/>
    </xf>
    <xf numFmtId="176" fontId="17" fillId="5" borderId="1" xfId="0" applyNumberFormat="1" applyFont="1" applyFill="1" applyBorder="1" applyAlignment="1">
      <alignment horizontal="center" vertical="top" wrapText="1"/>
    </xf>
    <xf numFmtId="0" fontId="17" fillId="4" borderId="11" xfId="0" applyFont="1" applyFill="1" applyBorder="1" applyAlignment="1">
      <alignment horizontal="center" vertical="top" wrapText="1"/>
    </xf>
    <xf numFmtId="0" fontId="17" fillId="4" borderId="12" xfId="0" applyFont="1" applyFill="1" applyBorder="1" applyAlignment="1">
      <alignment vertical="top" wrapText="1"/>
    </xf>
    <xf numFmtId="0" fontId="17" fillId="4" borderId="12" xfId="0" applyFont="1" applyFill="1" applyBorder="1" applyAlignment="1">
      <alignment horizontal="center" vertical="top" wrapText="1"/>
    </xf>
    <xf numFmtId="176" fontId="17" fillId="4" borderId="12" xfId="0" applyNumberFormat="1" applyFont="1" applyFill="1" applyBorder="1" applyAlignment="1">
      <alignment horizontal="center" vertical="top" wrapText="1"/>
    </xf>
    <xf numFmtId="0" fontId="17" fillId="4" borderId="13" xfId="0" applyFont="1" applyFill="1" applyBorder="1" applyAlignment="1">
      <alignment vertical="top" wrapText="1"/>
    </xf>
    <xf numFmtId="0" fontId="0" fillId="0" borderId="0" xfId="0" applyFont="1"/>
    <xf numFmtId="0" fontId="17" fillId="4" borderId="9" xfId="0" applyFont="1" applyFill="1" applyBorder="1" applyAlignment="1">
      <alignment vertical="top" wrapText="1"/>
    </xf>
    <xf numFmtId="0" fontId="17" fillId="5" borderId="9" xfId="0" applyFont="1" applyFill="1" applyBorder="1" applyAlignment="1">
      <alignment vertical="top" wrapText="1"/>
    </xf>
    <xf numFmtId="0" fontId="17" fillId="4" borderId="11" xfId="0" applyFont="1" applyFill="1" applyBorder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32">
    <dxf>
      <font>
        <color rgb="FF666666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666666"/>
      </font>
      <fill>
        <patternFill>
          <bgColor rgb="FFE7E6E6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color rgb="FF385723"/>
      </font>
      <fill>
        <patternFill>
          <bgColor rgb="FFE2F0D9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color rgb="FF666666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666666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666666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666666"/>
      </font>
      <fill>
        <patternFill>
          <bgColor rgb="FFE7E6E6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1F4E78"/>
      </font>
      <fill>
        <patternFill>
          <bgColor rgb="FFDDEBF7"/>
        </patternFill>
      </fill>
    </dxf>
    <dxf>
      <font>
        <b/>
        <color rgb="FF3857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B6" sqref="B6"/>
    </sheetView>
  </sheetViews>
  <sheetFormatPr defaultRowHeight="14.15"/>
  <cols>
    <col min="1" max="1" width="24" style="1" customWidth="1"/>
    <col min="2" max="2" width="54" customWidth="1"/>
    <col min="3" max="3" width="62" customWidth="1"/>
    <col min="4" max="16384" width="9.140625" style="1"/>
  </cols>
  <sheetData>
    <row r="1" spans="1:3" ht="16" customHeight="1">
      <c r="A1" s="35" t="s">
        <v>0</v>
      </c>
      <c r="B1" s="35"/>
      <c r="C1" s="35"/>
    </row>
    <row r="2" spans="1:3">
      <c r="A2" s="4"/>
      <c r="B2" s="4"/>
      <c r="C2" s="4"/>
    </row>
    <row r="3" spans="1:3" ht="19.399999999999999" customHeight="1">
      <c r="A3" s="5" t="s">
        <v>1</v>
      </c>
      <c r="B3" s="6" t="s">
        <v>2</v>
      </c>
      <c r="C3" s="7" t="s">
        <v>3</v>
      </c>
    </row>
    <row r="4" spans="1:3" ht="28.3">
      <c r="A4" s="18" t="s">
        <v>4</v>
      </c>
      <c r="B4" s="4" t="s">
        <v>5</v>
      </c>
      <c r="C4" s="19" t="s">
        <v>6</v>
      </c>
    </row>
    <row r="5" spans="1:3" ht="28.3">
      <c r="A5" s="18" t="s">
        <v>7</v>
      </c>
      <c r="B5" s="4" t="s">
        <v>8</v>
      </c>
      <c r="C5" s="19" t="s">
        <v>9</v>
      </c>
    </row>
    <row r="6" spans="1:3" ht="28.3">
      <c r="A6" s="18" t="s">
        <v>10</v>
      </c>
      <c r="B6" s="4" t="s">
        <v>11</v>
      </c>
      <c r="C6" s="19" t="s">
        <v>12</v>
      </c>
    </row>
    <row r="7" spans="1:3" ht="28.3">
      <c r="A7" s="18" t="s">
        <v>13</v>
      </c>
      <c r="B7" s="4" t="s">
        <v>14</v>
      </c>
      <c r="C7" s="19" t="s">
        <v>15</v>
      </c>
    </row>
    <row r="8" spans="1:3">
      <c r="A8" s="18"/>
      <c r="B8" s="4"/>
      <c r="C8" s="19"/>
    </row>
    <row r="9" spans="1:3" ht="38.6">
      <c r="A9" s="20" t="s">
        <v>280</v>
      </c>
      <c r="B9" s="21" t="s">
        <v>281</v>
      </c>
      <c r="C9" s="22" t="s">
        <v>282</v>
      </c>
    </row>
  </sheetData>
  <mergeCells count="1">
    <mergeCell ref="A1:C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3"/>
  <sheetViews>
    <sheetView tabSelected="1" workbookViewId="0">
      <selection activeCell="D10" sqref="D10"/>
    </sheetView>
  </sheetViews>
  <sheetFormatPr defaultRowHeight="14.15"/>
  <cols>
    <col min="1" max="1" width="10" style="2" customWidth="1"/>
    <col min="2" max="2" width="22" style="2" customWidth="1"/>
    <col min="3" max="3" width="30" style="2" customWidth="1"/>
    <col min="4" max="4" width="20" style="2" customWidth="1"/>
    <col min="5" max="5" width="16" style="2" customWidth="1"/>
    <col min="6" max="6" width="23" style="2" customWidth="1"/>
    <col min="7" max="7" width="36" style="2" customWidth="1"/>
    <col min="8" max="8" width="34" style="2" customWidth="1"/>
    <col min="9" max="9" width="17" style="2" customWidth="1"/>
    <col min="10" max="10" width="20" style="2" customWidth="1"/>
    <col min="11" max="11" width="14" style="2" customWidth="1"/>
    <col min="12" max="12" width="35" style="2" customWidth="1"/>
    <col min="13" max="16384" width="9.140625" style="2"/>
  </cols>
  <sheetData>
    <row r="1" spans="1:12" ht="16" customHeight="1">
      <c r="A1" s="36" t="s">
        <v>16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9.399999999999999" customHeight="1">
      <c r="A3" s="9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0" t="s">
        <v>24</v>
      </c>
      <c r="I3" s="10" t="s">
        <v>25</v>
      </c>
      <c r="J3" s="10" t="s">
        <v>26</v>
      </c>
      <c r="K3" s="10" t="s">
        <v>27</v>
      </c>
      <c r="L3" s="11" t="s">
        <v>28</v>
      </c>
    </row>
    <row r="4" spans="1:12">
      <c r="A4" s="23">
        <v>1</v>
      </c>
      <c r="B4" s="12" t="s">
        <v>29</v>
      </c>
      <c r="C4" s="12" t="s">
        <v>30</v>
      </c>
      <c r="D4" s="12" t="s">
        <v>31</v>
      </c>
      <c r="E4" s="26"/>
      <c r="F4" s="12" t="s">
        <v>32</v>
      </c>
      <c r="G4" s="32"/>
      <c r="H4" s="12" t="s">
        <v>33</v>
      </c>
      <c r="I4" s="26" t="s">
        <v>34</v>
      </c>
      <c r="J4" s="26" t="s">
        <v>35</v>
      </c>
      <c r="K4" s="29">
        <v>46276</v>
      </c>
      <c r="L4" s="13"/>
    </row>
    <row r="5" spans="1:12" ht="28.75">
      <c r="A5" s="24">
        <v>2</v>
      </c>
      <c r="B5" s="16" t="s">
        <v>29</v>
      </c>
      <c r="C5" s="16" t="s">
        <v>36</v>
      </c>
      <c r="D5" s="16" t="s">
        <v>31</v>
      </c>
      <c r="E5" s="27"/>
      <c r="F5" s="16" t="s">
        <v>32</v>
      </c>
      <c r="G5" s="33"/>
      <c r="H5" s="16" t="s">
        <v>33</v>
      </c>
      <c r="I5" s="27" t="s">
        <v>34</v>
      </c>
      <c r="J5" s="27" t="s">
        <v>35</v>
      </c>
      <c r="K5" s="30">
        <v>46276</v>
      </c>
      <c r="L5" s="17"/>
    </row>
    <row r="6" spans="1:12">
      <c r="A6" s="23">
        <v>3</v>
      </c>
      <c r="B6" s="12" t="s">
        <v>37</v>
      </c>
      <c r="C6" s="12" t="s">
        <v>38</v>
      </c>
      <c r="D6" s="12" t="s">
        <v>31</v>
      </c>
      <c r="E6" s="26"/>
      <c r="F6" s="12" t="s">
        <v>32</v>
      </c>
      <c r="G6" s="32"/>
      <c r="H6" s="12" t="s">
        <v>39</v>
      </c>
      <c r="I6" s="26" t="s">
        <v>34</v>
      </c>
      <c r="J6" s="26" t="s">
        <v>35</v>
      </c>
      <c r="K6" s="29">
        <v>46276</v>
      </c>
      <c r="L6" s="13"/>
    </row>
    <row r="7" spans="1:12" ht="38.6">
      <c r="A7" s="24">
        <v>4</v>
      </c>
      <c r="B7" s="16" t="s">
        <v>37</v>
      </c>
      <c r="C7" s="16" t="s">
        <v>40</v>
      </c>
      <c r="D7" s="16" t="s">
        <v>41</v>
      </c>
      <c r="E7" s="27"/>
      <c r="F7" s="16" t="s">
        <v>42</v>
      </c>
      <c r="G7" s="33" t="s">
        <v>43</v>
      </c>
      <c r="H7" s="16" t="s">
        <v>39</v>
      </c>
      <c r="I7" s="27" t="s">
        <v>34</v>
      </c>
      <c r="J7" s="27" t="s">
        <v>35</v>
      </c>
      <c r="K7" s="30">
        <v>46276</v>
      </c>
      <c r="L7" s="17" t="s">
        <v>283</v>
      </c>
    </row>
    <row r="8" spans="1:12" ht="60">
      <c r="A8" s="23">
        <v>5</v>
      </c>
      <c r="B8" s="12" t="s">
        <v>37</v>
      </c>
      <c r="C8" s="12" t="s">
        <v>44</v>
      </c>
      <c r="D8" s="12" t="s">
        <v>45</v>
      </c>
      <c r="E8" s="26"/>
      <c r="F8" s="12" t="s">
        <v>42</v>
      </c>
      <c r="G8" s="32" t="s">
        <v>46</v>
      </c>
      <c r="H8" s="12" t="s">
        <v>39</v>
      </c>
      <c r="I8" s="26" t="s">
        <v>34</v>
      </c>
      <c r="J8" s="26" t="s">
        <v>35</v>
      </c>
      <c r="K8" s="29">
        <v>46276</v>
      </c>
      <c r="L8" s="13" t="s">
        <v>284</v>
      </c>
    </row>
    <row r="9" spans="1:12">
      <c r="A9" s="24">
        <v>6</v>
      </c>
      <c r="B9" s="16" t="s">
        <v>37</v>
      </c>
      <c r="C9" s="16" t="s">
        <v>47</v>
      </c>
      <c r="D9" s="16" t="s">
        <v>48</v>
      </c>
      <c r="E9" s="27"/>
      <c r="F9" s="16" t="s">
        <v>49</v>
      </c>
      <c r="G9" s="33" t="s">
        <v>50</v>
      </c>
      <c r="H9" s="16" t="s">
        <v>39</v>
      </c>
      <c r="I9" s="27" t="s">
        <v>51</v>
      </c>
      <c r="J9" s="27" t="s">
        <v>35</v>
      </c>
      <c r="K9" s="30">
        <v>46276</v>
      </c>
      <c r="L9" s="17"/>
    </row>
    <row r="10" spans="1:12" ht="36">
      <c r="A10" s="23">
        <v>7</v>
      </c>
      <c r="B10" s="12" t="s">
        <v>52</v>
      </c>
      <c r="C10" s="12" t="s">
        <v>53</v>
      </c>
      <c r="D10" s="12" t="s">
        <v>54</v>
      </c>
      <c r="E10" s="26" t="s">
        <v>55</v>
      </c>
      <c r="F10" s="12" t="s">
        <v>56</v>
      </c>
      <c r="G10" s="32" t="s">
        <v>57</v>
      </c>
      <c r="H10" s="12" t="s">
        <v>58</v>
      </c>
      <c r="I10" s="26" t="s">
        <v>59</v>
      </c>
      <c r="J10" s="26" t="s">
        <v>60</v>
      </c>
      <c r="K10" s="29">
        <v>46276</v>
      </c>
      <c r="L10" s="13" t="s">
        <v>285</v>
      </c>
    </row>
    <row r="11" spans="1:12" ht="84">
      <c r="A11" s="24">
        <v>8</v>
      </c>
      <c r="B11" s="16" t="s">
        <v>37</v>
      </c>
      <c r="C11" s="16" t="s">
        <v>61</v>
      </c>
      <c r="D11" s="16" t="s">
        <v>62</v>
      </c>
      <c r="E11" s="27" t="s">
        <v>63</v>
      </c>
      <c r="F11" s="16" t="s">
        <v>64</v>
      </c>
      <c r="G11" s="33" t="s">
        <v>65</v>
      </c>
      <c r="H11" s="16" t="s">
        <v>66</v>
      </c>
      <c r="I11" s="27" t="s">
        <v>34</v>
      </c>
      <c r="J11" s="27" t="s">
        <v>35</v>
      </c>
      <c r="K11" s="30">
        <v>46276</v>
      </c>
      <c r="L11" s="17" t="s">
        <v>286</v>
      </c>
    </row>
    <row r="12" spans="1:12" ht="84">
      <c r="A12" s="25">
        <v>9</v>
      </c>
      <c r="B12" s="14" t="s">
        <v>67</v>
      </c>
      <c r="C12" s="14" t="s">
        <v>68</v>
      </c>
      <c r="D12" s="14" t="s">
        <v>62</v>
      </c>
      <c r="E12" s="28" t="s">
        <v>69</v>
      </c>
      <c r="F12" s="14" t="s">
        <v>70</v>
      </c>
      <c r="G12" s="34" t="s">
        <v>71</v>
      </c>
      <c r="H12" s="14" t="s">
        <v>72</v>
      </c>
      <c r="I12" s="28" t="s">
        <v>34</v>
      </c>
      <c r="J12" s="28" t="s">
        <v>35</v>
      </c>
      <c r="K12" s="31">
        <v>46276</v>
      </c>
      <c r="L12" s="15" t="s">
        <v>287</v>
      </c>
    </row>
    <row r="13" spans="1:12">
      <c r="K13" s="3"/>
    </row>
    <row r="14" spans="1:12">
      <c r="K14" s="3"/>
    </row>
    <row r="15" spans="1:12">
      <c r="K15" s="3"/>
    </row>
    <row r="16" spans="1:12">
      <c r="K16" s="3"/>
    </row>
    <row r="17" spans="11:11">
      <c r="K17" s="3"/>
    </row>
    <row r="18" spans="11:11">
      <c r="K18" s="3"/>
    </row>
    <row r="19" spans="11:11">
      <c r="K19" s="3"/>
    </row>
    <row r="20" spans="11:11">
      <c r="K20" s="3"/>
    </row>
    <row r="21" spans="11:11">
      <c r="K21" s="3"/>
    </row>
    <row r="22" spans="11:11">
      <c r="K22" s="3"/>
    </row>
    <row r="23" spans="11:11">
      <c r="K23" s="3"/>
    </row>
    <row r="24" spans="11:11">
      <c r="K24" s="3"/>
    </row>
    <row r="25" spans="11:11">
      <c r="K25" s="3"/>
    </row>
    <row r="26" spans="11:11">
      <c r="K26" s="3"/>
    </row>
    <row r="27" spans="11:11">
      <c r="K27" s="3"/>
    </row>
    <row r="28" spans="11:11">
      <c r="K28" s="3"/>
    </row>
    <row r="29" spans="11:11">
      <c r="K29" s="3"/>
    </row>
    <row r="30" spans="11:11">
      <c r="K30" s="3"/>
    </row>
    <row r="31" spans="11:11">
      <c r="K31" s="3"/>
    </row>
    <row r="32" spans="11:11">
      <c r="K32" s="3"/>
    </row>
    <row r="33" spans="11:11">
      <c r="K33" s="3"/>
    </row>
    <row r="34" spans="11:11">
      <c r="K34" s="3"/>
    </row>
    <row r="35" spans="11:11">
      <c r="K35" s="3"/>
    </row>
    <row r="36" spans="11:11">
      <c r="K36" s="3"/>
    </row>
    <row r="37" spans="11:11">
      <c r="K37" s="3"/>
    </row>
    <row r="38" spans="11:11">
      <c r="K38" s="3"/>
    </row>
    <row r="39" spans="11:11">
      <c r="K39" s="3"/>
    </row>
    <row r="40" spans="11:11">
      <c r="K40" s="3"/>
    </row>
    <row r="41" spans="11:11">
      <c r="K41" s="3"/>
    </row>
    <row r="42" spans="11:11">
      <c r="K42" s="3"/>
    </row>
    <row r="43" spans="11:11">
      <c r="K43" s="3"/>
    </row>
    <row r="44" spans="11:11">
      <c r="K44" s="3"/>
    </row>
    <row r="45" spans="11:11">
      <c r="K45" s="3"/>
    </row>
    <row r="46" spans="11:11">
      <c r="K46" s="3"/>
    </row>
    <row r="47" spans="11:11">
      <c r="K47" s="3"/>
    </row>
    <row r="48" spans="11:11">
      <c r="K48" s="3"/>
    </row>
    <row r="49" spans="11:11">
      <c r="K49" s="3"/>
    </row>
    <row r="50" spans="11:11">
      <c r="K50" s="3"/>
    </row>
    <row r="51" spans="11:11">
      <c r="K51" s="3"/>
    </row>
    <row r="52" spans="11:11">
      <c r="K52" s="3"/>
    </row>
    <row r="53" spans="11:11">
      <c r="K53" s="3"/>
    </row>
    <row r="54" spans="11:11">
      <c r="K54" s="3"/>
    </row>
    <row r="55" spans="11:11">
      <c r="K55" s="3"/>
    </row>
    <row r="56" spans="11:11">
      <c r="K56" s="3"/>
    </row>
    <row r="57" spans="11:11">
      <c r="K57" s="3"/>
    </row>
    <row r="58" spans="11:11">
      <c r="K58" s="3"/>
    </row>
    <row r="59" spans="11:11">
      <c r="K59" s="3"/>
    </row>
    <row r="60" spans="11:11">
      <c r="K60" s="3"/>
    </row>
    <row r="61" spans="11:11">
      <c r="K61" s="3"/>
    </row>
    <row r="62" spans="11:11">
      <c r="K62" s="3"/>
    </row>
    <row r="63" spans="11:11">
      <c r="K63" s="3"/>
    </row>
    <row r="64" spans="11:11">
      <c r="K64" s="3"/>
    </row>
    <row r="65" spans="11:11">
      <c r="K65" s="3"/>
    </row>
    <row r="66" spans="11:11">
      <c r="K66" s="3"/>
    </row>
    <row r="67" spans="11:11">
      <c r="K67" s="3"/>
    </row>
    <row r="68" spans="11:11">
      <c r="K68" s="3"/>
    </row>
    <row r="69" spans="11:11">
      <c r="K69" s="3"/>
    </row>
    <row r="70" spans="11:11">
      <c r="K70" s="3"/>
    </row>
    <row r="71" spans="11:11">
      <c r="K71" s="3"/>
    </row>
    <row r="72" spans="11:11">
      <c r="K72" s="3"/>
    </row>
    <row r="73" spans="11:11">
      <c r="K73" s="3"/>
    </row>
    <row r="74" spans="11:11">
      <c r="K74" s="3"/>
    </row>
    <row r="75" spans="11:11">
      <c r="K75" s="3"/>
    </row>
    <row r="76" spans="11:11">
      <c r="K76" s="3"/>
    </row>
    <row r="77" spans="11:11">
      <c r="K77" s="3"/>
    </row>
    <row r="78" spans="11:11">
      <c r="K78" s="3"/>
    </row>
    <row r="79" spans="11:11">
      <c r="K79" s="3"/>
    </row>
    <row r="80" spans="11:11">
      <c r="K80" s="3"/>
    </row>
    <row r="81" spans="11:11">
      <c r="K81" s="3"/>
    </row>
    <row r="82" spans="11:11">
      <c r="K82" s="3"/>
    </row>
    <row r="83" spans="11:11">
      <c r="K83" s="3"/>
    </row>
    <row r="84" spans="11:11">
      <c r="K84" s="3"/>
    </row>
    <row r="85" spans="11:11">
      <c r="K85" s="3"/>
    </row>
    <row r="86" spans="11:11">
      <c r="K86" s="3"/>
    </row>
    <row r="87" spans="11:11">
      <c r="K87" s="3"/>
    </row>
    <row r="88" spans="11:11">
      <c r="K88" s="3"/>
    </row>
    <row r="89" spans="11:11">
      <c r="K89" s="3"/>
    </row>
    <row r="90" spans="11:11">
      <c r="K90" s="3"/>
    </row>
    <row r="91" spans="11:11">
      <c r="K91" s="3"/>
    </row>
    <row r="92" spans="11:11">
      <c r="K92" s="3"/>
    </row>
    <row r="93" spans="11:11">
      <c r="K93" s="3"/>
    </row>
    <row r="94" spans="11:11">
      <c r="K94" s="3"/>
    </row>
    <row r="95" spans="11:11">
      <c r="K95" s="3"/>
    </row>
    <row r="96" spans="11:11">
      <c r="K96" s="3"/>
    </row>
    <row r="97" spans="11:11">
      <c r="K97" s="3"/>
    </row>
    <row r="98" spans="11:11">
      <c r="K98" s="3"/>
    </row>
    <row r="99" spans="11:11">
      <c r="K99" s="3"/>
    </row>
    <row r="100" spans="11:11">
      <c r="K100" s="3"/>
    </row>
    <row r="101" spans="11:11">
      <c r="K101" s="3"/>
    </row>
    <row r="102" spans="11:11">
      <c r="K102" s="3"/>
    </row>
    <row r="103" spans="11:11">
      <c r="K103" s="3"/>
    </row>
  </sheetData>
  <mergeCells count="1">
    <mergeCell ref="A1:L1"/>
  </mergeCells>
  <phoneticPr fontId="3" type="noConversion"/>
  <conditionalFormatting sqref="J4:J100">
    <cfRule type="expression" dxfId="31" priority="1">
      <formula>J4="已确认 / CONFIRMED"</formula>
    </cfRule>
    <cfRule type="expression" dxfId="30" priority="2">
      <formula>J4="已实测 / MEASURED"</formula>
    </cfRule>
    <cfRule type="expression" dxfId="29" priority="3">
      <formula>J4="临时假设 / ASSUMED"</formula>
    </cfRule>
    <cfRule type="expression" dxfId="28" priority="4">
      <formula>J4="未确认 / UNKNOWN"</formula>
    </cfRule>
    <cfRule type="expression" dxfId="27" priority="5">
      <formula>J4="不适用 / N/A"</formula>
    </cfRule>
  </conditionalFormatting>
  <dataValidations count="3">
    <dataValidation type="list" sqref="B4:B103" xr:uid="{00000000-0002-0000-0100-000000000000}">
      <formula1>"数据手册 / Datasheet,参考手册 / Reference Manual,勘误表 / Errata,应用笔记 / Application Note,协议规范 / Protocol,原理图 / Schematic,引脚图 / Pinout,用户手册 / User Manual,其他 / Other"</formula1>
    </dataValidation>
    <dataValidation type="list" sqref="I4:I103" xr:uid="{00000000-0002-0000-0100-000001000000}">
      <formula1>"官方 / Official,厂商 / Vendor,社区参考 / Community,未知 / Unknown"</formula1>
    </dataValidation>
    <dataValidation type="list" sqref="J4:J103" xr:uid="{00000000-0002-0000-0100-000002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F7" sqref="F7"/>
    </sheetView>
  </sheetViews>
  <sheetFormatPr defaultRowHeight="14.15"/>
  <cols>
    <col min="1" max="1" width="10" style="38" customWidth="1"/>
    <col min="2" max="2" width="22" style="38" customWidth="1"/>
    <col min="3" max="3" width="28" style="38" customWidth="1"/>
    <col min="4" max="4" width="24" style="38" customWidth="1"/>
    <col min="5" max="5" width="8" style="38" customWidth="1"/>
    <col min="6" max="6" width="26" style="38" customWidth="1"/>
    <col min="7" max="7" width="16" style="38" customWidth="1"/>
    <col min="8" max="8" width="30" style="38" customWidth="1"/>
    <col min="9" max="9" width="14" style="55" customWidth="1"/>
    <col min="10" max="10" width="20" style="38" customWidth="1"/>
    <col min="11" max="11" width="42" style="38" customWidth="1"/>
    <col min="12" max="16384" width="9.140625" style="38"/>
  </cols>
  <sheetData>
    <row r="1" spans="1:11" ht="16" customHeight="1">
      <c r="A1" s="37" t="s">
        <v>73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4.6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ht="19.399999999999999" customHeight="1">
      <c r="A3" s="40" t="s">
        <v>74</v>
      </c>
      <c r="B3" s="41" t="s">
        <v>75</v>
      </c>
      <c r="C3" s="41" t="s">
        <v>76</v>
      </c>
      <c r="D3" s="41" t="s">
        <v>77</v>
      </c>
      <c r="E3" s="41" t="s">
        <v>78</v>
      </c>
      <c r="F3" s="41" t="s">
        <v>79</v>
      </c>
      <c r="G3" s="41" t="s">
        <v>80</v>
      </c>
      <c r="H3" s="41" t="s">
        <v>81</v>
      </c>
      <c r="I3" s="41" t="s">
        <v>17</v>
      </c>
      <c r="J3" s="41" t="s">
        <v>26</v>
      </c>
      <c r="K3" s="42" t="s">
        <v>28</v>
      </c>
    </row>
    <row r="4" spans="1:11" ht="14.6">
      <c r="A4" s="43">
        <v>1</v>
      </c>
      <c r="B4" s="44" t="s">
        <v>31</v>
      </c>
      <c r="C4" s="44" t="s">
        <v>82</v>
      </c>
      <c r="D4" s="44" t="s">
        <v>83</v>
      </c>
      <c r="E4" s="45">
        <v>1</v>
      </c>
      <c r="F4" s="44" t="s">
        <v>84</v>
      </c>
      <c r="G4" s="44" t="s">
        <v>84</v>
      </c>
      <c r="H4" s="44" t="s">
        <v>85</v>
      </c>
      <c r="I4" s="45" t="s">
        <v>86</v>
      </c>
      <c r="J4" s="45" t="s">
        <v>35</v>
      </c>
      <c r="K4" s="46"/>
    </row>
    <row r="5" spans="1:11" ht="14.6">
      <c r="A5" s="47">
        <v>2</v>
      </c>
      <c r="B5" s="48" t="s">
        <v>41</v>
      </c>
      <c r="C5" s="48" t="s">
        <v>87</v>
      </c>
      <c r="D5" s="48" t="s">
        <v>288</v>
      </c>
      <c r="E5" s="49">
        <v>1</v>
      </c>
      <c r="F5" s="48" t="s">
        <v>88</v>
      </c>
      <c r="G5" s="48" t="s">
        <v>289</v>
      </c>
      <c r="H5" s="48" t="s">
        <v>89</v>
      </c>
      <c r="I5" s="49">
        <v>4</v>
      </c>
      <c r="J5" s="49" t="s">
        <v>35</v>
      </c>
      <c r="K5" s="50" t="s">
        <v>290</v>
      </c>
    </row>
    <row r="6" spans="1:11" ht="43.75">
      <c r="A6" s="43">
        <v>3</v>
      </c>
      <c r="B6" s="44" t="s">
        <v>45</v>
      </c>
      <c r="C6" s="44" t="s">
        <v>90</v>
      </c>
      <c r="D6" s="44" t="s">
        <v>91</v>
      </c>
      <c r="E6" s="45">
        <v>1</v>
      </c>
      <c r="F6" s="44" t="s">
        <v>92</v>
      </c>
      <c r="G6" s="44" t="s">
        <v>289</v>
      </c>
      <c r="H6" s="44" t="s">
        <v>93</v>
      </c>
      <c r="I6" s="45">
        <v>5</v>
      </c>
      <c r="J6" s="45" t="s">
        <v>35</v>
      </c>
      <c r="K6" s="46" t="s">
        <v>291</v>
      </c>
    </row>
    <row r="7" spans="1:11" ht="29.15">
      <c r="A7" s="47">
        <v>4</v>
      </c>
      <c r="B7" s="48" t="s">
        <v>94</v>
      </c>
      <c r="C7" s="48" t="s">
        <v>95</v>
      </c>
      <c r="D7" s="48" t="s">
        <v>96</v>
      </c>
      <c r="E7" s="49">
        <v>1</v>
      </c>
      <c r="F7" s="48" t="s">
        <v>92</v>
      </c>
      <c r="G7" s="48" t="s">
        <v>84</v>
      </c>
      <c r="H7" s="48" t="s">
        <v>97</v>
      </c>
      <c r="I7" s="49"/>
      <c r="J7" s="49" t="s">
        <v>60</v>
      </c>
      <c r="K7" s="50" t="s">
        <v>98</v>
      </c>
    </row>
    <row r="8" spans="1:11" ht="14.6">
      <c r="A8" s="43">
        <v>5</v>
      </c>
      <c r="B8" s="44" t="s">
        <v>99</v>
      </c>
      <c r="C8" s="44" t="s">
        <v>100</v>
      </c>
      <c r="D8" s="44" t="s">
        <v>84</v>
      </c>
      <c r="E8" s="45">
        <v>1</v>
      </c>
      <c r="F8" s="44" t="s">
        <v>101</v>
      </c>
      <c r="G8" s="44" t="s">
        <v>102</v>
      </c>
      <c r="H8" s="44" t="s">
        <v>103</v>
      </c>
      <c r="I8" s="45"/>
      <c r="J8" s="45" t="s">
        <v>35</v>
      </c>
      <c r="K8" s="46"/>
    </row>
    <row r="9" spans="1:11" ht="29.15">
      <c r="A9" s="47">
        <v>6</v>
      </c>
      <c r="B9" s="48" t="s">
        <v>104</v>
      </c>
      <c r="C9" s="48" t="s">
        <v>105</v>
      </c>
      <c r="D9" s="48" t="s">
        <v>106</v>
      </c>
      <c r="E9" s="49">
        <v>1</v>
      </c>
      <c r="F9" s="48" t="s">
        <v>107</v>
      </c>
      <c r="G9" s="48" t="s">
        <v>84</v>
      </c>
      <c r="H9" s="48" t="s">
        <v>108</v>
      </c>
      <c r="I9" s="49">
        <v>6</v>
      </c>
      <c r="J9" s="49" t="s">
        <v>60</v>
      </c>
      <c r="K9" s="50" t="s">
        <v>292</v>
      </c>
    </row>
    <row r="10" spans="1:11" ht="29.15">
      <c r="A10" s="43">
        <v>7</v>
      </c>
      <c r="B10" s="44" t="s">
        <v>109</v>
      </c>
      <c r="C10" s="44" t="s">
        <v>110</v>
      </c>
      <c r="D10" s="44" t="s">
        <v>111</v>
      </c>
      <c r="E10" s="45">
        <v>1</v>
      </c>
      <c r="F10" s="44" t="s">
        <v>112</v>
      </c>
      <c r="G10" s="44" t="s">
        <v>84</v>
      </c>
      <c r="H10" s="44" t="s">
        <v>113</v>
      </c>
      <c r="I10" s="45"/>
      <c r="J10" s="45" t="s">
        <v>60</v>
      </c>
      <c r="K10" s="46" t="s">
        <v>293</v>
      </c>
    </row>
    <row r="11" spans="1:11" ht="14.6">
      <c r="A11" s="47">
        <v>8</v>
      </c>
      <c r="B11" s="48" t="s">
        <v>114</v>
      </c>
      <c r="C11" s="48" t="s">
        <v>115</v>
      </c>
      <c r="D11" s="48"/>
      <c r="E11" s="49">
        <v>1</v>
      </c>
      <c r="F11" s="48" t="s">
        <v>116</v>
      </c>
      <c r="G11" s="48" t="s">
        <v>84</v>
      </c>
      <c r="H11" s="48" t="s">
        <v>117</v>
      </c>
      <c r="I11" s="49"/>
      <c r="J11" s="49" t="s">
        <v>35</v>
      </c>
      <c r="K11" s="50" t="s">
        <v>294</v>
      </c>
    </row>
    <row r="12" spans="1:11" ht="29.15">
      <c r="A12" s="43">
        <v>9</v>
      </c>
      <c r="B12" s="44" t="s">
        <v>118</v>
      </c>
      <c r="C12" s="44" t="s">
        <v>119</v>
      </c>
      <c r="D12" s="44" t="s">
        <v>120</v>
      </c>
      <c r="E12" s="45">
        <v>1</v>
      </c>
      <c r="F12" s="44" t="s">
        <v>121</v>
      </c>
      <c r="G12" s="44" t="s">
        <v>84</v>
      </c>
      <c r="H12" s="44" t="s">
        <v>122</v>
      </c>
      <c r="I12" s="45" t="s">
        <v>123</v>
      </c>
      <c r="J12" s="45" t="s">
        <v>35</v>
      </c>
      <c r="K12" s="46" t="s">
        <v>295</v>
      </c>
    </row>
    <row r="13" spans="1:11" ht="29.15">
      <c r="A13" s="51">
        <v>10</v>
      </c>
      <c r="B13" s="52" t="s">
        <v>124</v>
      </c>
      <c r="C13" s="52" t="s">
        <v>125</v>
      </c>
      <c r="D13" s="52" t="s">
        <v>126</v>
      </c>
      <c r="E13" s="53">
        <v>1</v>
      </c>
      <c r="F13" s="52" t="s">
        <v>121</v>
      </c>
      <c r="G13" s="52" t="s">
        <v>84</v>
      </c>
      <c r="H13" s="52" t="s">
        <v>127</v>
      </c>
      <c r="I13" s="53" t="s">
        <v>123</v>
      </c>
      <c r="J13" s="53" t="s">
        <v>35</v>
      </c>
      <c r="K13" s="54" t="s">
        <v>296</v>
      </c>
    </row>
  </sheetData>
  <mergeCells count="1">
    <mergeCell ref="A1:K1"/>
  </mergeCells>
  <phoneticPr fontId="3" type="noConversion"/>
  <conditionalFormatting sqref="J4:J100">
    <cfRule type="expression" dxfId="26" priority="1">
      <formula>J4="已确认 / CONFIRMED"</formula>
    </cfRule>
    <cfRule type="expression" dxfId="25" priority="2">
      <formula>J4="已实测 / MEASURED"</formula>
    </cfRule>
    <cfRule type="expression" dxfId="24" priority="3">
      <formula>J4="临时假设 / ASSUMED"</formula>
    </cfRule>
    <cfRule type="expression" dxfId="23" priority="4">
      <formula>J4="未确认 / UNKNOWN"</formula>
    </cfRule>
    <cfRule type="expression" dxfId="22" priority="5">
      <formula>J4="不适用 / N/A"</formula>
    </cfRule>
  </conditionalFormatting>
  <dataValidations count="1">
    <dataValidation type="list" sqref="J4:J103" xr:uid="{00000000-0002-0000-02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workbookViewId="0">
      <selection activeCell="E16" sqref="E16"/>
    </sheetView>
  </sheetViews>
  <sheetFormatPr defaultRowHeight="14.15"/>
  <cols>
    <col min="1" max="1" width="10" style="2" customWidth="1"/>
    <col min="2" max="2" width="20" style="2" customWidth="1"/>
    <col min="3" max="3" width="13" style="2" customWidth="1"/>
    <col min="4" max="4" width="25" style="2" customWidth="1"/>
    <col min="5" max="5" width="16" style="2" customWidth="1"/>
    <col min="6" max="6" width="12" style="2" customWidth="1"/>
    <col min="7" max="7" width="16" style="2" customWidth="1"/>
    <col min="8" max="8" width="15" style="2" customWidth="1"/>
    <col min="9" max="9" width="11" style="2" customWidth="1"/>
    <col min="10" max="10" width="23" style="2" customWidth="1"/>
    <col min="11" max="11" width="32" style="2" customWidth="1"/>
    <col min="12" max="12" width="20" style="2" customWidth="1"/>
    <col min="13" max="13" width="42" style="2" customWidth="1"/>
    <col min="14" max="16384" width="9.140625" style="2"/>
  </cols>
  <sheetData>
    <row r="1" spans="1:13" ht="16" customHeight="1">
      <c r="A1" s="36" t="s">
        <v>128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spans="1:13" ht="19.399999999999999" customHeight="1">
      <c r="A3" s="9" t="s">
        <v>129</v>
      </c>
      <c r="B3" s="10" t="s">
        <v>130</v>
      </c>
      <c r="C3" s="10" t="s">
        <v>131</v>
      </c>
      <c r="D3" s="10" t="s">
        <v>132</v>
      </c>
      <c r="E3" s="10" t="s">
        <v>133</v>
      </c>
      <c r="F3" s="10" t="s">
        <v>134</v>
      </c>
      <c r="G3" s="10" t="s">
        <v>135</v>
      </c>
      <c r="H3" s="10" t="s">
        <v>136</v>
      </c>
      <c r="I3" s="10" t="s">
        <v>137</v>
      </c>
      <c r="J3" s="10" t="s">
        <v>138</v>
      </c>
      <c r="K3" s="10" t="s">
        <v>139</v>
      </c>
      <c r="L3" s="10" t="s">
        <v>26</v>
      </c>
      <c r="M3" s="11" t="s">
        <v>28</v>
      </c>
    </row>
    <row r="4" spans="1:13">
      <c r="A4" s="23">
        <v>1</v>
      </c>
      <c r="B4" s="12" t="s">
        <v>140</v>
      </c>
      <c r="C4" s="26" t="s">
        <v>141</v>
      </c>
      <c r="D4" s="12" t="s">
        <v>142</v>
      </c>
      <c r="E4" s="26" t="s">
        <v>84</v>
      </c>
      <c r="F4" s="26" t="s">
        <v>143</v>
      </c>
      <c r="G4" s="26" t="s">
        <v>102</v>
      </c>
      <c r="H4" s="26" t="s">
        <v>84</v>
      </c>
      <c r="I4" s="26" t="s">
        <v>84</v>
      </c>
      <c r="J4" s="12" t="s">
        <v>100</v>
      </c>
      <c r="K4" s="12"/>
      <c r="L4" s="26" t="s">
        <v>35</v>
      </c>
      <c r="M4" s="13"/>
    </row>
    <row r="5" spans="1:13" ht="25.75">
      <c r="A5" s="24">
        <v>2</v>
      </c>
      <c r="B5" s="16" t="s">
        <v>144</v>
      </c>
      <c r="C5" s="27" t="s">
        <v>145</v>
      </c>
      <c r="D5" s="16" t="s">
        <v>146</v>
      </c>
      <c r="E5" s="27" t="s">
        <v>84</v>
      </c>
      <c r="F5" s="27" t="s">
        <v>147</v>
      </c>
      <c r="G5" s="27" t="s">
        <v>148</v>
      </c>
      <c r="H5" s="27" t="s">
        <v>149</v>
      </c>
      <c r="I5" s="27" t="s">
        <v>84</v>
      </c>
      <c r="J5" s="16" t="s">
        <v>150</v>
      </c>
      <c r="K5" s="16"/>
      <c r="L5" s="27" t="s">
        <v>35</v>
      </c>
      <c r="M5" s="17" t="s">
        <v>297</v>
      </c>
    </row>
    <row r="6" spans="1:13" ht="25.75">
      <c r="A6" s="23">
        <v>3</v>
      </c>
      <c r="B6" s="12" t="s">
        <v>151</v>
      </c>
      <c r="C6" s="26" t="s">
        <v>152</v>
      </c>
      <c r="D6" s="12" t="s">
        <v>146</v>
      </c>
      <c r="E6" s="26" t="s">
        <v>84</v>
      </c>
      <c r="F6" s="26" t="s">
        <v>147</v>
      </c>
      <c r="G6" s="26" t="s">
        <v>148</v>
      </c>
      <c r="H6" s="26" t="s">
        <v>149</v>
      </c>
      <c r="I6" s="26" t="s">
        <v>84</v>
      </c>
      <c r="J6" s="12" t="s">
        <v>150</v>
      </c>
      <c r="K6" s="12"/>
      <c r="L6" s="26" t="s">
        <v>35</v>
      </c>
      <c r="M6" s="13" t="s">
        <v>298</v>
      </c>
    </row>
    <row r="7" spans="1:13">
      <c r="A7" s="24">
        <v>4</v>
      </c>
      <c r="B7" s="16" t="s">
        <v>153</v>
      </c>
      <c r="C7" s="27" t="s">
        <v>154</v>
      </c>
      <c r="D7" s="16" t="s">
        <v>155</v>
      </c>
      <c r="E7" s="27" t="s">
        <v>156</v>
      </c>
      <c r="F7" s="27" t="s">
        <v>143</v>
      </c>
      <c r="G7" s="27" t="s">
        <v>84</v>
      </c>
      <c r="H7" s="27"/>
      <c r="I7" s="27" t="s">
        <v>84</v>
      </c>
      <c r="J7" s="16" t="s">
        <v>106</v>
      </c>
      <c r="K7" s="16"/>
      <c r="L7" s="27" t="s">
        <v>35</v>
      </c>
      <c r="M7" s="17"/>
    </row>
    <row r="8" spans="1:13">
      <c r="A8" s="23">
        <v>5</v>
      </c>
      <c r="B8" s="12" t="s">
        <v>157</v>
      </c>
      <c r="C8" s="26" t="s">
        <v>158</v>
      </c>
      <c r="D8" s="12" t="s">
        <v>159</v>
      </c>
      <c r="E8" s="26" t="s">
        <v>156</v>
      </c>
      <c r="F8" s="26" t="s">
        <v>160</v>
      </c>
      <c r="G8" s="26" t="s">
        <v>84</v>
      </c>
      <c r="H8" s="26"/>
      <c r="I8" s="26" t="s">
        <v>84</v>
      </c>
      <c r="J8" s="12" t="s">
        <v>106</v>
      </c>
      <c r="K8" s="12"/>
      <c r="L8" s="26" t="s">
        <v>35</v>
      </c>
      <c r="M8" s="13"/>
    </row>
    <row r="9" spans="1:13" ht="25.75">
      <c r="A9" s="24">
        <v>6</v>
      </c>
      <c r="B9" s="16" t="s">
        <v>161</v>
      </c>
      <c r="C9" s="27" t="s">
        <v>162</v>
      </c>
      <c r="D9" s="16" t="s">
        <v>163</v>
      </c>
      <c r="E9" s="27" t="s">
        <v>164</v>
      </c>
      <c r="F9" s="27" t="s">
        <v>143</v>
      </c>
      <c r="G9" s="27" t="s">
        <v>102</v>
      </c>
      <c r="H9" s="27"/>
      <c r="I9" s="27" t="s">
        <v>84</v>
      </c>
      <c r="J9" s="16" t="s">
        <v>165</v>
      </c>
      <c r="K9" s="16"/>
      <c r="L9" s="27" t="s">
        <v>35</v>
      </c>
      <c r="M9" s="17"/>
    </row>
    <row r="10" spans="1:13">
      <c r="A10" s="23">
        <v>7</v>
      </c>
      <c r="B10" s="12" t="s">
        <v>166</v>
      </c>
      <c r="C10" s="26" t="s">
        <v>167</v>
      </c>
      <c r="D10" s="12" t="s">
        <v>168</v>
      </c>
      <c r="E10" s="26" t="s">
        <v>169</v>
      </c>
      <c r="F10" s="26" t="s">
        <v>143</v>
      </c>
      <c r="G10" s="26" t="s">
        <v>84</v>
      </c>
      <c r="H10" s="26"/>
      <c r="I10" s="26" t="s">
        <v>84</v>
      </c>
      <c r="J10" s="12" t="s">
        <v>165</v>
      </c>
      <c r="K10" s="12"/>
      <c r="L10" s="26" t="s">
        <v>35</v>
      </c>
      <c r="M10" s="13"/>
    </row>
    <row r="11" spans="1:13">
      <c r="A11" s="24">
        <v>8</v>
      </c>
      <c r="B11" s="16" t="s">
        <v>170</v>
      </c>
      <c r="C11" s="27" t="s">
        <v>171</v>
      </c>
      <c r="D11" s="16" t="s">
        <v>172</v>
      </c>
      <c r="E11" s="27" t="s">
        <v>169</v>
      </c>
      <c r="F11" s="27" t="s">
        <v>160</v>
      </c>
      <c r="G11" s="27" t="s">
        <v>84</v>
      </c>
      <c r="H11" s="27"/>
      <c r="I11" s="27" t="s">
        <v>84</v>
      </c>
      <c r="J11" s="16" t="s">
        <v>165</v>
      </c>
      <c r="K11" s="16"/>
      <c r="L11" s="27" t="s">
        <v>35</v>
      </c>
      <c r="M11" s="17"/>
    </row>
    <row r="12" spans="1:13">
      <c r="A12" s="23">
        <v>9</v>
      </c>
      <c r="B12" s="12" t="s">
        <v>173</v>
      </c>
      <c r="C12" s="26" t="s">
        <v>174</v>
      </c>
      <c r="D12" s="12" t="s">
        <v>175</v>
      </c>
      <c r="E12" s="26" t="s">
        <v>169</v>
      </c>
      <c r="F12" s="26" t="s">
        <v>143</v>
      </c>
      <c r="G12" s="26" t="s">
        <v>84</v>
      </c>
      <c r="H12" s="26"/>
      <c r="I12" s="26" t="s">
        <v>84</v>
      </c>
      <c r="J12" s="12" t="s">
        <v>165</v>
      </c>
      <c r="K12" s="12"/>
      <c r="L12" s="26" t="s">
        <v>35</v>
      </c>
      <c r="M12" s="13"/>
    </row>
    <row r="13" spans="1:13" ht="25.75">
      <c r="A13" s="24">
        <v>10</v>
      </c>
      <c r="B13" s="16" t="s">
        <v>176</v>
      </c>
      <c r="C13" s="27" t="s">
        <v>177</v>
      </c>
      <c r="D13" s="16" t="s">
        <v>178</v>
      </c>
      <c r="E13" s="27" t="s">
        <v>169</v>
      </c>
      <c r="F13" s="27" t="s">
        <v>143</v>
      </c>
      <c r="G13" s="27" t="s">
        <v>84</v>
      </c>
      <c r="H13" s="27"/>
      <c r="I13" s="27" t="s">
        <v>84</v>
      </c>
      <c r="J13" s="16" t="s">
        <v>179</v>
      </c>
      <c r="K13" s="16" t="s">
        <v>180</v>
      </c>
      <c r="L13" s="27" t="s">
        <v>35</v>
      </c>
      <c r="M13" s="17"/>
    </row>
    <row r="14" spans="1:13" ht="25.75">
      <c r="A14" s="23">
        <v>11</v>
      </c>
      <c r="B14" s="12" t="s">
        <v>181</v>
      </c>
      <c r="C14" s="26" t="s">
        <v>182</v>
      </c>
      <c r="D14" s="12" t="s">
        <v>183</v>
      </c>
      <c r="E14" s="26" t="s">
        <v>169</v>
      </c>
      <c r="F14" s="26" t="s">
        <v>143</v>
      </c>
      <c r="G14" s="26" t="s">
        <v>84</v>
      </c>
      <c r="H14" s="26"/>
      <c r="I14" s="26" t="s">
        <v>84</v>
      </c>
      <c r="J14" s="12" t="s">
        <v>179</v>
      </c>
      <c r="K14" s="12" t="s">
        <v>180</v>
      </c>
      <c r="L14" s="26" t="s">
        <v>35</v>
      </c>
      <c r="M14" s="13"/>
    </row>
    <row r="15" spans="1:13" ht="25.75">
      <c r="A15" s="24">
        <v>12</v>
      </c>
      <c r="B15" s="16" t="s">
        <v>184</v>
      </c>
      <c r="C15" s="27" t="s">
        <v>185</v>
      </c>
      <c r="D15" s="16" t="s">
        <v>186</v>
      </c>
      <c r="E15" s="27"/>
      <c r="F15" s="27" t="s">
        <v>143</v>
      </c>
      <c r="G15" s="27" t="s">
        <v>187</v>
      </c>
      <c r="H15" s="27"/>
      <c r="I15" s="27" t="s">
        <v>84</v>
      </c>
      <c r="J15" s="16" t="s">
        <v>179</v>
      </c>
      <c r="K15" s="16" t="s">
        <v>180</v>
      </c>
      <c r="L15" s="27" t="s">
        <v>35</v>
      </c>
      <c r="M15" s="17"/>
    </row>
    <row r="16" spans="1:13" ht="25.75">
      <c r="A16" s="23">
        <v>13</v>
      </c>
      <c r="B16" s="12" t="s">
        <v>188</v>
      </c>
      <c r="C16" s="26" t="s">
        <v>189</v>
      </c>
      <c r="D16" s="12" t="s">
        <v>190</v>
      </c>
      <c r="E16" s="26"/>
      <c r="F16" s="26" t="s">
        <v>143</v>
      </c>
      <c r="G16" s="26"/>
      <c r="H16" s="26"/>
      <c r="I16" s="26" t="s">
        <v>84</v>
      </c>
      <c r="J16" s="12" t="s">
        <v>179</v>
      </c>
      <c r="K16" s="12" t="s">
        <v>180</v>
      </c>
      <c r="L16" s="26" t="s">
        <v>35</v>
      </c>
      <c r="M16" s="13"/>
    </row>
    <row r="17" spans="1:13" ht="25.75">
      <c r="A17" s="24">
        <v>14</v>
      </c>
      <c r="B17" s="16" t="s">
        <v>191</v>
      </c>
      <c r="C17" s="27" t="s">
        <v>192</v>
      </c>
      <c r="D17" s="16" t="s">
        <v>193</v>
      </c>
      <c r="E17" s="27"/>
      <c r="F17" s="27" t="s">
        <v>143</v>
      </c>
      <c r="G17" s="27" t="s">
        <v>102</v>
      </c>
      <c r="H17" s="27"/>
      <c r="I17" s="27" t="s">
        <v>84</v>
      </c>
      <c r="J17" s="16" t="s">
        <v>179</v>
      </c>
      <c r="K17" s="16" t="s">
        <v>180</v>
      </c>
      <c r="L17" s="27" t="s">
        <v>35</v>
      </c>
      <c r="M17" s="17"/>
    </row>
    <row r="18" spans="1:13" ht="25.75">
      <c r="A18" s="25">
        <v>15</v>
      </c>
      <c r="B18" s="14" t="s">
        <v>194</v>
      </c>
      <c r="C18" s="28" t="s">
        <v>195</v>
      </c>
      <c r="D18" s="14" t="s">
        <v>196</v>
      </c>
      <c r="E18" s="28"/>
      <c r="F18" s="28" t="s">
        <v>143</v>
      </c>
      <c r="G18" s="28"/>
      <c r="H18" s="28"/>
      <c r="I18" s="28" t="s">
        <v>84</v>
      </c>
      <c r="J18" s="14" t="s">
        <v>179</v>
      </c>
      <c r="K18" s="14" t="s">
        <v>180</v>
      </c>
      <c r="L18" s="28" t="s">
        <v>35</v>
      </c>
      <c r="M18" s="15"/>
    </row>
  </sheetData>
  <mergeCells count="1">
    <mergeCell ref="A1:M1"/>
  </mergeCells>
  <phoneticPr fontId="3" type="noConversion"/>
  <conditionalFormatting sqref="L4:L100">
    <cfRule type="expression" dxfId="21" priority="1">
      <formula>L4="已确认 / CONFIRMED"</formula>
    </cfRule>
    <cfRule type="expression" dxfId="20" priority="2">
      <formula>L4="已实测 / MEASURED"</formula>
    </cfRule>
    <cfRule type="expression" dxfId="19" priority="3">
      <formula>L4="临时假设 / ASSUMED"</formula>
    </cfRule>
    <cfRule type="expression" dxfId="18" priority="4">
      <formula>L4="未确认 / UNKNOWN"</formula>
    </cfRule>
    <cfRule type="expression" dxfId="17" priority="5">
      <formula>L4="不适用 / N/A"</formula>
    </cfRule>
  </conditionalFormatting>
  <dataValidations count="1">
    <dataValidation type="list" sqref="L4:L101" xr:uid="{00000000-0002-0000-03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1"/>
  <sheetViews>
    <sheetView workbookViewId="0">
      <selection activeCell="F11" sqref="F11"/>
    </sheetView>
  </sheetViews>
  <sheetFormatPr defaultRowHeight="14.15"/>
  <cols>
    <col min="1" max="1" width="10" style="57" customWidth="1"/>
    <col min="2" max="2" width="24" style="57" customWidth="1"/>
    <col min="3" max="3" width="22" style="57" customWidth="1"/>
    <col min="4" max="4" width="18" style="57" customWidth="1"/>
    <col min="5" max="5" width="32" style="57" customWidth="1"/>
    <col min="6" max="6" width="24" style="67" customWidth="1"/>
    <col min="7" max="7" width="10" style="57" customWidth="1"/>
    <col min="8" max="8" width="24" style="57" customWidth="1"/>
    <col min="9" max="9" width="14" style="57" customWidth="1"/>
    <col min="10" max="10" width="20" style="57" customWidth="1"/>
    <col min="11" max="11" width="34" style="57" customWidth="1"/>
    <col min="12" max="12" width="36" style="57" customWidth="1"/>
    <col min="13" max="16384" width="9.140625" style="57"/>
  </cols>
  <sheetData>
    <row r="1" spans="1:12" ht="16" customHeight="1">
      <c r="A1" s="56" t="s">
        <v>427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4.6">
      <c r="A2" s="58"/>
      <c r="B2" s="58"/>
      <c r="C2" s="58"/>
      <c r="D2" s="58"/>
      <c r="E2" s="58"/>
      <c r="F2" s="59"/>
      <c r="G2" s="58"/>
      <c r="H2" s="58"/>
      <c r="I2" s="58"/>
      <c r="J2" s="58"/>
      <c r="K2" s="58"/>
      <c r="L2" s="58"/>
    </row>
    <row r="3" spans="1:12" ht="19.399999999999999" customHeight="1">
      <c r="A3" s="60" t="s">
        <v>428</v>
      </c>
      <c r="B3" s="60" t="s">
        <v>429</v>
      </c>
      <c r="C3" s="60" t="s">
        <v>430</v>
      </c>
      <c r="D3" s="60" t="s">
        <v>431</v>
      </c>
      <c r="E3" s="60" t="s">
        <v>432</v>
      </c>
      <c r="F3" s="60" t="s">
        <v>433</v>
      </c>
      <c r="G3" s="60" t="s">
        <v>434</v>
      </c>
      <c r="H3" s="60" t="s">
        <v>435</v>
      </c>
      <c r="I3" s="60" t="s">
        <v>436</v>
      </c>
      <c r="J3" s="60" t="s">
        <v>437</v>
      </c>
      <c r="K3" s="60" t="s">
        <v>438</v>
      </c>
      <c r="L3" s="60" t="s">
        <v>439</v>
      </c>
    </row>
    <row r="4" spans="1:12" ht="18.350000000000001" customHeight="1">
      <c r="A4" s="61">
        <v>1</v>
      </c>
      <c r="B4" s="62" t="s">
        <v>83</v>
      </c>
      <c r="C4" s="62" t="s">
        <v>299</v>
      </c>
      <c r="D4" s="61" t="s">
        <v>300</v>
      </c>
      <c r="E4" s="62" t="s">
        <v>301</v>
      </c>
      <c r="F4" s="63">
        <v>512</v>
      </c>
      <c r="G4" s="61" t="s">
        <v>302</v>
      </c>
      <c r="H4" s="62" t="s">
        <v>303</v>
      </c>
      <c r="I4" s="61" t="s">
        <v>123</v>
      </c>
      <c r="J4" s="61" t="s">
        <v>35</v>
      </c>
      <c r="K4" s="62" t="s">
        <v>304</v>
      </c>
      <c r="L4" s="62" t="s">
        <v>305</v>
      </c>
    </row>
    <row r="5" spans="1:12" ht="18.350000000000001" customHeight="1">
      <c r="A5" s="64">
        <v>2</v>
      </c>
      <c r="B5" s="65" t="s">
        <v>83</v>
      </c>
      <c r="C5" s="65" t="s">
        <v>299</v>
      </c>
      <c r="D5" s="64" t="s">
        <v>300</v>
      </c>
      <c r="E5" s="65" t="s">
        <v>306</v>
      </c>
      <c r="F5" s="66" t="s">
        <v>307</v>
      </c>
      <c r="G5" s="64" t="s">
        <v>84</v>
      </c>
      <c r="H5" s="65" t="s">
        <v>303</v>
      </c>
      <c r="I5" s="64" t="s">
        <v>308</v>
      </c>
      <c r="J5" s="64" t="s">
        <v>35</v>
      </c>
      <c r="K5" s="65" t="s">
        <v>309</v>
      </c>
      <c r="L5" s="65" t="s">
        <v>310</v>
      </c>
    </row>
    <row r="6" spans="1:12" ht="18.350000000000001" customHeight="1">
      <c r="A6" s="61">
        <v>3</v>
      </c>
      <c r="B6" s="62" t="s">
        <v>288</v>
      </c>
      <c r="C6" s="62" t="s">
        <v>311</v>
      </c>
      <c r="D6" s="61" t="s">
        <v>88</v>
      </c>
      <c r="E6" s="62" t="s">
        <v>312</v>
      </c>
      <c r="F6" s="63" t="s">
        <v>288</v>
      </c>
      <c r="G6" s="61" t="s">
        <v>84</v>
      </c>
      <c r="H6" s="62" t="s">
        <v>313</v>
      </c>
      <c r="I6" s="61" t="s">
        <v>314</v>
      </c>
      <c r="J6" s="61" t="s">
        <v>35</v>
      </c>
      <c r="K6" s="62" t="s">
        <v>315</v>
      </c>
      <c r="L6" s="62" t="s">
        <v>316</v>
      </c>
    </row>
    <row r="7" spans="1:12" ht="18.350000000000001" customHeight="1">
      <c r="A7" s="64">
        <v>4</v>
      </c>
      <c r="B7" s="65" t="s">
        <v>288</v>
      </c>
      <c r="C7" s="65" t="s">
        <v>311</v>
      </c>
      <c r="D7" s="64" t="s">
        <v>88</v>
      </c>
      <c r="E7" s="65" t="s">
        <v>317</v>
      </c>
      <c r="F7" s="66">
        <v>3.3</v>
      </c>
      <c r="G7" s="64" t="s">
        <v>318</v>
      </c>
      <c r="H7" s="65" t="s">
        <v>319</v>
      </c>
      <c r="I7" s="64" t="s">
        <v>314</v>
      </c>
      <c r="J7" s="64" t="s">
        <v>35</v>
      </c>
      <c r="K7" s="65" t="s">
        <v>320</v>
      </c>
      <c r="L7" s="65" t="s">
        <v>321</v>
      </c>
    </row>
    <row r="8" spans="1:12" ht="18.350000000000001" customHeight="1">
      <c r="A8" s="61">
        <v>5</v>
      </c>
      <c r="B8" s="62" t="s">
        <v>288</v>
      </c>
      <c r="C8" s="62" t="s">
        <v>311</v>
      </c>
      <c r="D8" s="61" t="s">
        <v>88</v>
      </c>
      <c r="E8" s="62" t="s">
        <v>322</v>
      </c>
      <c r="F8" s="63" t="s">
        <v>323</v>
      </c>
      <c r="G8" s="61" t="s">
        <v>318</v>
      </c>
      <c r="H8" s="62" t="s">
        <v>319</v>
      </c>
      <c r="I8" s="61" t="s">
        <v>314</v>
      </c>
      <c r="J8" s="61" t="s">
        <v>35</v>
      </c>
      <c r="K8" s="62" t="s">
        <v>324</v>
      </c>
      <c r="L8" s="62"/>
    </row>
    <row r="9" spans="1:12" ht="18.350000000000001" customHeight="1">
      <c r="A9" s="64">
        <v>6</v>
      </c>
      <c r="B9" s="65" t="s">
        <v>288</v>
      </c>
      <c r="C9" s="65" t="s">
        <v>311</v>
      </c>
      <c r="D9" s="64" t="s">
        <v>88</v>
      </c>
      <c r="E9" s="65" t="s">
        <v>325</v>
      </c>
      <c r="F9" s="66">
        <v>8</v>
      </c>
      <c r="G9" s="64" t="s">
        <v>326</v>
      </c>
      <c r="H9" s="65" t="s">
        <v>327</v>
      </c>
      <c r="I9" s="64" t="s">
        <v>314</v>
      </c>
      <c r="J9" s="64" t="s">
        <v>35</v>
      </c>
      <c r="K9" s="65" t="s">
        <v>324</v>
      </c>
      <c r="L9" s="65"/>
    </row>
    <row r="10" spans="1:12" ht="18.350000000000001" customHeight="1">
      <c r="A10" s="61">
        <v>7</v>
      </c>
      <c r="B10" s="62" t="s">
        <v>288</v>
      </c>
      <c r="C10" s="62" t="s">
        <v>311</v>
      </c>
      <c r="D10" s="61" t="s">
        <v>88</v>
      </c>
      <c r="E10" s="62" t="s">
        <v>328</v>
      </c>
      <c r="F10" s="63">
        <v>256</v>
      </c>
      <c r="G10" s="61" t="s">
        <v>329</v>
      </c>
      <c r="H10" s="62" t="s">
        <v>330</v>
      </c>
      <c r="I10" s="61" t="s">
        <v>314</v>
      </c>
      <c r="J10" s="61" t="s">
        <v>35</v>
      </c>
      <c r="K10" s="62" t="s">
        <v>324</v>
      </c>
      <c r="L10" s="62"/>
    </row>
    <row r="11" spans="1:12" ht="18.350000000000001" customHeight="1">
      <c r="A11" s="64">
        <v>8</v>
      </c>
      <c r="B11" s="65" t="s">
        <v>288</v>
      </c>
      <c r="C11" s="65" t="s">
        <v>311</v>
      </c>
      <c r="D11" s="64" t="s">
        <v>88</v>
      </c>
      <c r="E11" s="65" t="s">
        <v>331</v>
      </c>
      <c r="F11" s="66">
        <v>4</v>
      </c>
      <c r="G11" s="64" t="s">
        <v>332</v>
      </c>
      <c r="H11" s="65" t="s">
        <v>330</v>
      </c>
      <c r="I11" s="64" t="s">
        <v>314</v>
      </c>
      <c r="J11" s="64" t="s">
        <v>35</v>
      </c>
      <c r="K11" s="65" t="s">
        <v>324</v>
      </c>
      <c r="L11" s="65"/>
    </row>
    <row r="12" spans="1:12" ht="18.350000000000001" customHeight="1">
      <c r="A12" s="61">
        <v>9</v>
      </c>
      <c r="B12" s="62" t="s">
        <v>288</v>
      </c>
      <c r="C12" s="62" t="s">
        <v>311</v>
      </c>
      <c r="D12" s="61" t="s">
        <v>88</v>
      </c>
      <c r="E12" s="62" t="s">
        <v>333</v>
      </c>
      <c r="F12" s="63" t="s">
        <v>334</v>
      </c>
      <c r="G12" s="61" t="s">
        <v>332</v>
      </c>
      <c r="H12" s="62" t="s">
        <v>330</v>
      </c>
      <c r="I12" s="61" t="s">
        <v>314</v>
      </c>
      <c r="J12" s="61" t="s">
        <v>35</v>
      </c>
      <c r="K12" s="62" t="s">
        <v>324</v>
      </c>
      <c r="L12" s="62"/>
    </row>
    <row r="13" spans="1:12" ht="18.350000000000001" customHeight="1">
      <c r="A13" s="64">
        <v>10</v>
      </c>
      <c r="B13" s="65" t="s">
        <v>288</v>
      </c>
      <c r="C13" s="65" t="s">
        <v>311</v>
      </c>
      <c r="D13" s="64" t="s">
        <v>88</v>
      </c>
      <c r="E13" s="65" t="s">
        <v>335</v>
      </c>
      <c r="F13" s="66">
        <v>133</v>
      </c>
      <c r="G13" s="64" t="s">
        <v>336</v>
      </c>
      <c r="H13" s="65" t="s">
        <v>337</v>
      </c>
      <c r="I13" s="64" t="s">
        <v>314</v>
      </c>
      <c r="J13" s="64" t="s">
        <v>35</v>
      </c>
      <c r="K13" s="65" t="s">
        <v>324</v>
      </c>
      <c r="L13" s="65" t="s">
        <v>338</v>
      </c>
    </row>
    <row r="14" spans="1:12" ht="18.350000000000001" customHeight="1">
      <c r="A14" s="61">
        <v>11</v>
      </c>
      <c r="B14" s="62" t="s">
        <v>288</v>
      </c>
      <c r="C14" s="62" t="s">
        <v>311</v>
      </c>
      <c r="D14" s="61" t="s">
        <v>88</v>
      </c>
      <c r="E14" s="62" t="s">
        <v>339</v>
      </c>
      <c r="F14" s="63" t="s">
        <v>340</v>
      </c>
      <c r="G14" s="61" t="s">
        <v>84</v>
      </c>
      <c r="H14" s="62" t="s">
        <v>341</v>
      </c>
      <c r="I14" s="61" t="s">
        <v>314</v>
      </c>
      <c r="J14" s="61" t="s">
        <v>35</v>
      </c>
      <c r="K14" s="62" t="s">
        <v>324</v>
      </c>
      <c r="L14" s="62" t="s">
        <v>342</v>
      </c>
    </row>
    <row r="15" spans="1:12" ht="18.350000000000001" customHeight="1">
      <c r="A15" s="64">
        <v>12</v>
      </c>
      <c r="B15" s="65" t="s">
        <v>91</v>
      </c>
      <c r="C15" s="65" t="s">
        <v>343</v>
      </c>
      <c r="D15" s="64" t="s">
        <v>344</v>
      </c>
      <c r="E15" s="65" t="s">
        <v>317</v>
      </c>
      <c r="F15" s="66">
        <v>3.3</v>
      </c>
      <c r="G15" s="64" t="s">
        <v>318</v>
      </c>
      <c r="H15" s="65" t="s">
        <v>319</v>
      </c>
      <c r="I15" s="64" t="s">
        <v>345</v>
      </c>
      <c r="J15" s="64" t="s">
        <v>35</v>
      </c>
      <c r="K15" s="65" t="s">
        <v>346</v>
      </c>
      <c r="L15" s="65" t="s">
        <v>347</v>
      </c>
    </row>
    <row r="16" spans="1:12" ht="18.350000000000001" customHeight="1">
      <c r="A16" s="61">
        <v>13</v>
      </c>
      <c r="B16" s="62" t="s">
        <v>91</v>
      </c>
      <c r="C16" s="62" t="s">
        <v>343</v>
      </c>
      <c r="D16" s="61" t="s">
        <v>344</v>
      </c>
      <c r="E16" s="62" t="s">
        <v>325</v>
      </c>
      <c r="F16" s="63">
        <v>256</v>
      </c>
      <c r="G16" s="61" t="s">
        <v>329</v>
      </c>
      <c r="H16" s="62" t="s">
        <v>348</v>
      </c>
      <c r="I16" s="61" t="s">
        <v>349</v>
      </c>
      <c r="J16" s="61" t="s">
        <v>35</v>
      </c>
      <c r="K16" s="62" t="s">
        <v>350</v>
      </c>
      <c r="L16" s="62"/>
    </row>
    <row r="17" spans="1:12" ht="18.350000000000001" customHeight="1">
      <c r="A17" s="64">
        <v>14</v>
      </c>
      <c r="B17" s="65" t="s">
        <v>91</v>
      </c>
      <c r="C17" s="65" t="s">
        <v>343</v>
      </c>
      <c r="D17" s="64" t="s">
        <v>344</v>
      </c>
      <c r="E17" s="65" t="s">
        <v>351</v>
      </c>
      <c r="F17" s="66">
        <v>8</v>
      </c>
      <c r="G17" s="64" t="s">
        <v>329</v>
      </c>
      <c r="H17" s="65" t="s">
        <v>352</v>
      </c>
      <c r="I17" s="64" t="s">
        <v>349</v>
      </c>
      <c r="J17" s="64" t="s">
        <v>35</v>
      </c>
      <c r="K17" s="65" t="s">
        <v>350</v>
      </c>
      <c r="L17" s="65"/>
    </row>
    <row r="18" spans="1:12" ht="18.350000000000001" customHeight="1">
      <c r="A18" s="61">
        <v>15</v>
      </c>
      <c r="B18" s="62" t="s">
        <v>91</v>
      </c>
      <c r="C18" s="62" t="s">
        <v>343</v>
      </c>
      <c r="D18" s="61" t="s">
        <v>344</v>
      </c>
      <c r="E18" s="62" t="s">
        <v>353</v>
      </c>
      <c r="F18" s="63">
        <v>5</v>
      </c>
      <c r="G18" s="61" t="s">
        <v>354</v>
      </c>
      <c r="H18" s="62" t="s">
        <v>352</v>
      </c>
      <c r="I18" s="61" t="s">
        <v>349</v>
      </c>
      <c r="J18" s="61" t="s">
        <v>35</v>
      </c>
      <c r="K18" s="62" t="s">
        <v>350</v>
      </c>
      <c r="L18" s="62"/>
    </row>
    <row r="19" spans="1:12" ht="18.350000000000001" customHeight="1">
      <c r="A19" s="64">
        <v>16</v>
      </c>
      <c r="B19" s="65" t="s">
        <v>91</v>
      </c>
      <c r="C19" s="65" t="s">
        <v>343</v>
      </c>
      <c r="D19" s="64" t="s">
        <v>344</v>
      </c>
      <c r="E19" s="65" t="s">
        <v>322</v>
      </c>
      <c r="F19" s="66" t="s">
        <v>355</v>
      </c>
      <c r="G19" s="64" t="s">
        <v>318</v>
      </c>
      <c r="H19" s="65" t="s">
        <v>319</v>
      </c>
      <c r="I19" s="64" t="s">
        <v>349</v>
      </c>
      <c r="J19" s="64" t="s">
        <v>35</v>
      </c>
      <c r="K19" s="65" t="s">
        <v>350</v>
      </c>
      <c r="L19" s="65"/>
    </row>
    <row r="20" spans="1:12" ht="18.350000000000001" customHeight="1">
      <c r="A20" s="61">
        <v>17</v>
      </c>
      <c r="B20" s="62" t="s">
        <v>91</v>
      </c>
      <c r="C20" s="62" t="s">
        <v>343</v>
      </c>
      <c r="D20" s="61" t="s">
        <v>344</v>
      </c>
      <c r="E20" s="62" t="s">
        <v>356</v>
      </c>
      <c r="F20" s="63" t="s">
        <v>357</v>
      </c>
      <c r="G20" s="61" t="s">
        <v>84</v>
      </c>
      <c r="H20" s="62" t="s">
        <v>358</v>
      </c>
      <c r="I20" s="61" t="s">
        <v>359</v>
      </c>
      <c r="J20" s="61" t="s">
        <v>35</v>
      </c>
      <c r="K20" s="62" t="s">
        <v>360</v>
      </c>
      <c r="L20" s="62" t="s">
        <v>361</v>
      </c>
    </row>
    <row r="21" spans="1:12" ht="18.350000000000001" customHeight="1">
      <c r="A21" s="64">
        <v>18</v>
      </c>
      <c r="B21" s="65" t="s">
        <v>91</v>
      </c>
      <c r="C21" s="65" t="s">
        <v>343</v>
      </c>
      <c r="D21" s="64" t="s">
        <v>344</v>
      </c>
      <c r="E21" s="65" t="s">
        <v>362</v>
      </c>
      <c r="F21" s="66" t="s">
        <v>363</v>
      </c>
      <c r="G21" s="64" t="s">
        <v>84</v>
      </c>
      <c r="H21" s="65" t="s">
        <v>352</v>
      </c>
      <c r="I21" s="64" t="s">
        <v>345</v>
      </c>
      <c r="J21" s="64" t="s">
        <v>35</v>
      </c>
      <c r="K21" s="65" t="s">
        <v>364</v>
      </c>
      <c r="L21" s="65" t="s">
        <v>365</v>
      </c>
    </row>
    <row r="22" spans="1:12" ht="18.350000000000001" customHeight="1">
      <c r="A22" s="61">
        <v>19</v>
      </c>
      <c r="B22" s="62" t="s">
        <v>91</v>
      </c>
      <c r="C22" s="62" t="s">
        <v>343</v>
      </c>
      <c r="D22" s="61" t="s">
        <v>344</v>
      </c>
      <c r="E22" s="62" t="s">
        <v>366</v>
      </c>
      <c r="F22" s="63" t="s">
        <v>367</v>
      </c>
      <c r="G22" s="61" t="s">
        <v>84</v>
      </c>
      <c r="H22" s="62" t="s">
        <v>352</v>
      </c>
      <c r="I22" s="61" t="s">
        <v>359</v>
      </c>
      <c r="J22" s="61" t="s">
        <v>35</v>
      </c>
      <c r="K22" s="62" t="s">
        <v>360</v>
      </c>
      <c r="L22" s="62" t="s">
        <v>368</v>
      </c>
    </row>
    <row r="23" spans="1:12" ht="18.350000000000001" customHeight="1">
      <c r="A23" s="64">
        <v>20</v>
      </c>
      <c r="B23" s="65" t="s">
        <v>91</v>
      </c>
      <c r="C23" s="65" t="s">
        <v>343</v>
      </c>
      <c r="D23" s="64" t="s">
        <v>344</v>
      </c>
      <c r="E23" s="65" t="s">
        <v>369</v>
      </c>
      <c r="F23" s="66" t="s">
        <v>370</v>
      </c>
      <c r="G23" s="64" t="s">
        <v>84</v>
      </c>
      <c r="H23" s="65" t="s">
        <v>319</v>
      </c>
      <c r="I23" s="64" t="s">
        <v>359</v>
      </c>
      <c r="J23" s="64" t="s">
        <v>35</v>
      </c>
      <c r="K23" s="65" t="s">
        <v>371</v>
      </c>
      <c r="L23" s="65" t="s">
        <v>372</v>
      </c>
    </row>
    <row r="24" spans="1:12" ht="18.350000000000001" customHeight="1">
      <c r="A24" s="61">
        <v>21</v>
      </c>
      <c r="B24" s="62" t="s">
        <v>106</v>
      </c>
      <c r="C24" s="62" t="s">
        <v>373</v>
      </c>
      <c r="D24" s="61" t="s">
        <v>374</v>
      </c>
      <c r="E24" s="62" t="s">
        <v>375</v>
      </c>
      <c r="F24" s="63" t="s">
        <v>376</v>
      </c>
      <c r="G24" s="61" t="s">
        <v>84</v>
      </c>
      <c r="H24" s="62" t="s">
        <v>377</v>
      </c>
      <c r="I24" s="61" t="s">
        <v>378</v>
      </c>
      <c r="J24" s="61" t="s">
        <v>379</v>
      </c>
      <c r="K24" s="62" t="s">
        <v>380</v>
      </c>
      <c r="L24" s="62" t="s">
        <v>381</v>
      </c>
    </row>
    <row r="25" spans="1:12" ht="18.350000000000001" customHeight="1">
      <c r="A25" s="64">
        <v>22</v>
      </c>
      <c r="B25" s="65" t="s">
        <v>106</v>
      </c>
      <c r="C25" s="65" t="s">
        <v>373</v>
      </c>
      <c r="D25" s="64" t="s">
        <v>374</v>
      </c>
      <c r="E25" s="65" t="s">
        <v>382</v>
      </c>
      <c r="F25" s="66" t="s">
        <v>383</v>
      </c>
      <c r="G25" s="64" t="s">
        <v>318</v>
      </c>
      <c r="H25" s="65" t="s">
        <v>319</v>
      </c>
      <c r="I25" s="64" t="s">
        <v>378</v>
      </c>
      <c r="J25" s="64" t="s">
        <v>379</v>
      </c>
      <c r="K25" s="65" t="s">
        <v>380</v>
      </c>
      <c r="L25" s="65"/>
    </row>
    <row r="26" spans="1:12" ht="18.350000000000001" customHeight="1">
      <c r="A26" s="61">
        <v>23</v>
      </c>
      <c r="B26" s="62" t="s">
        <v>384</v>
      </c>
      <c r="C26" s="62" t="s">
        <v>385</v>
      </c>
      <c r="D26" s="61" t="s">
        <v>386</v>
      </c>
      <c r="E26" s="62" t="s">
        <v>387</v>
      </c>
      <c r="F26" s="62" t="s">
        <v>388</v>
      </c>
      <c r="G26" s="61" t="s">
        <v>389</v>
      </c>
      <c r="H26" s="62" t="s">
        <v>390</v>
      </c>
      <c r="I26" s="61" t="s">
        <v>391</v>
      </c>
      <c r="J26" s="61" t="s">
        <v>379</v>
      </c>
      <c r="K26" s="62" t="s">
        <v>392</v>
      </c>
      <c r="L26" s="62" t="s">
        <v>393</v>
      </c>
    </row>
    <row r="27" spans="1:12" ht="18.350000000000001" customHeight="1">
      <c r="A27" s="64">
        <v>24</v>
      </c>
      <c r="B27" s="65" t="s">
        <v>384</v>
      </c>
      <c r="C27" s="65" t="s">
        <v>385</v>
      </c>
      <c r="D27" s="64" t="s">
        <v>386</v>
      </c>
      <c r="E27" s="65" t="s">
        <v>394</v>
      </c>
      <c r="F27" s="65" t="s">
        <v>395</v>
      </c>
      <c r="G27" s="64" t="s">
        <v>84</v>
      </c>
      <c r="H27" s="65" t="s">
        <v>396</v>
      </c>
      <c r="I27" s="64" t="s">
        <v>391</v>
      </c>
      <c r="J27" s="64" t="s">
        <v>379</v>
      </c>
      <c r="K27" s="65" t="s">
        <v>392</v>
      </c>
      <c r="L27" s="65"/>
    </row>
    <row r="28" spans="1:12" ht="18.350000000000001" customHeight="1">
      <c r="A28" s="61">
        <v>25</v>
      </c>
      <c r="B28" s="62" t="s">
        <v>384</v>
      </c>
      <c r="C28" s="62" t="s">
        <v>385</v>
      </c>
      <c r="D28" s="61" t="s">
        <v>386</v>
      </c>
      <c r="E28" s="62" t="s">
        <v>397</v>
      </c>
      <c r="F28" s="62" t="s">
        <v>398</v>
      </c>
      <c r="G28" s="61" t="s">
        <v>84</v>
      </c>
      <c r="H28" s="62" t="s">
        <v>396</v>
      </c>
      <c r="I28" s="61" t="s">
        <v>391</v>
      </c>
      <c r="J28" s="61" t="s">
        <v>379</v>
      </c>
      <c r="K28" s="62" t="s">
        <v>392</v>
      </c>
      <c r="L28" s="62"/>
    </row>
    <row r="29" spans="1:12" ht="18.350000000000001" customHeight="1">
      <c r="A29" s="64">
        <v>26</v>
      </c>
      <c r="B29" s="65" t="s">
        <v>384</v>
      </c>
      <c r="C29" s="65" t="s">
        <v>385</v>
      </c>
      <c r="D29" s="64" t="s">
        <v>386</v>
      </c>
      <c r="E29" s="65" t="s">
        <v>399</v>
      </c>
      <c r="F29" s="65" t="s">
        <v>400</v>
      </c>
      <c r="G29" s="64" t="s">
        <v>336</v>
      </c>
      <c r="H29" s="65" t="s">
        <v>337</v>
      </c>
      <c r="I29" s="64" t="s">
        <v>401</v>
      </c>
      <c r="J29" s="64" t="s">
        <v>379</v>
      </c>
      <c r="K29" s="65" t="s">
        <v>402</v>
      </c>
      <c r="L29" s="65" t="s">
        <v>403</v>
      </c>
    </row>
    <row r="30" spans="1:12" ht="18.350000000000001" customHeight="1">
      <c r="A30" s="61">
        <v>27</v>
      </c>
      <c r="B30" s="62" t="s">
        <v>384</v>
      </c>
      <c r="C30" s="62" t="s">
        <v>404</v>
      </c>
      <c r="D30" s="61" t="s">
        <v>84</v>
      </c>
      <c r="E30" s="62" t="s">
        <v>405</v>
      </c>
      <c r="F30" s="62">
        <v>3.3</v>
      </c>
      <c r="G30" s="61" t="s">
        <v>318</v>
      </c>
      <c r="H30" s="62" t="s">
        <v>319</v>
      </c>
      <c r="I30" s="61" t="s">
        <v>401</v>
      </c>
      <c r="J30" s="61" t="s">
        <v>379</v>
      </c>
      <c r="K30" s="62" t="s">
        <v>402</v>
      </c>
      <c r="L30" s="62"/>
    </row>
    <row r="31" spans="1:12" ht="18.350000000000001" customHeight="1">
      <c r="A31" s="64">
        <v>28</v>
      </c>
      <c r="B31" s="65" t="s">
        <v>384</v>
      </c>
      <c r="C31" s="65" t="s">
        <v>406</v>
      </c>
      <c r="D31" s="64" t="s">
        <v>407</v>
      </c>
      <c r="E31" s="65" t="s">
        <v>408</v>
      </c>
      <c r="F31" s="65" t="s">
        <v>409</v>
      </c>
      <c r="G31" s="64" t="s">
        <v>84</v>
      </c>
      <c r="H31" s="65" t="s">
        <v>410</v>
      </c>
      <c r="I31" s="64" t="s">
        <v>411</v>
      </c>
      <c r="J31" s="64" t="s">
        <v>379</v>
      </c>
      <c r="K31" s="65" t="s">
        <v>412</v>
      </c>
      <c r="L31" s="65" t="s">
        <v>413</v>
      </c>
    </row>
  </sheetData>
  <mergeCells count="1">
    <mergeCell ref="A1:L1"/>
  </mergeCells>
  <phoneticPr fontId="3" type="noConversion"/>
  <conditionalFormatting sqref="J4:J100">
    <cfRule type="expression" dxfId="16" priority="1">
      <formula>J4="已确认 / CONFIRMED"</formula>
    </cfRule>
    <cfRule type="expression" dxfId="15" priority="2">
      <formula>J4="已实测 / MEASURED"</formula>
    </cfRule>
    <cfRule type="expression" dxfId="14" priority="3">
      <formula>J4="临时假设 / ASSUMED"</formula>
    </cfRule>
    <cfRule type="expression" dxfId="13" priority="4">
      <formula>J4="未确认 / UNKNOWN"</formula>
    </cfRule>
    <cfRule type="expression" dxfId="12" priority="5">
      <formula>J4="不适用 / N/A"</formula>
    </cfRule>
  </conditionalFormatting>
  <dataValidations count="1">
    <dataValidation type="list" sqref="J4:J103" xr:uid="{00000000-0002-0000-04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workbookViewId="0">
      <selection activeCell="D9" sqref="D9"/>
    </sheetView>
  </sheetViews>
  <sheetFormatPr defaultRowHeight="14.15"/>
  <cols>
    <col min="1" max="1" width="12" style="38" customWidth="1"/>
    <col min="2" max="2" width="32" style="38" customWidth="1"/>
    <col min="3" max="3" width="20" style="38" customWidth="1"/>
    <col min="4" max="4" width="42" style="38" customWidth="1"/>
    <col min="5" max="5" width="36" style="38" customWidth="1"/>
    <col min="6" max="6" width="15" style="38" customWidth="1"/>
    <col min="7" max="7" width="18" style="38" customWidth="1"/>
    <col min="8" max="8" width="44" style="38" customWidth="1"/>
    <col min="9" max="9" width="16" style="38" customWidth="1"/>
    <col min="10" max="11" width="14" style="75" customWidth="1"/>
    <col min="12" max="12" width="24" style="38" customWidth="1"/>
    <col min="13" max="13" width="40" style="38" customWidth="1"/>
    <col min="14" max="16384" width="9.140625" style="38"/>
  </cols>
  <sheetData>
    <row r="1" spans="1:13" ht="16" customHeight="1">
      <c r="A1" s="37" t="s">
        <v>440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4.6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3" spans="1:13" ht="19.399999999999999" customHeight="1">
      <c r="A3" s="40" t="s">
        <v>441</v>
      </c>
      <c r="B3" s="41" t="s">
        <v>442</v>
      </c>
      <c r="C3" s="41" t="s">
        <v>443</v>
      </c>
      <c r="D3" s="41" t="s">
        <v>444</v>
      </c>
      <c r="E3" s="41" t="s">
        <v>445</v>
      </c>
      <c r="F3" s="41" t="s">
        <v>446</v>
      </c>
      <c r="G3" s="41" t="s">
        <v>437</v>
      </c>
      <c r="H3" s="41" t="s">
        <v>447</v>
      </c>
      <c r="I3" s="41" t="s">
        <v>448</v>
      </c>
      <c r="J3" s="41" t="s">
        <v>449</v>
      </c>
      <c r="K3" s="41" t="s">
        <v>450</v>
      </c>
      <c r="L3" s="41" t="s">
        <v>451</v>
      </c>
      <c r="M3" s="42" t="s">
        <v>452</v>
      </c>
    </row>
    <row r="4" spans="1:13" ht="29.15">
      <c r="A4" s="43" t="s">
        <v>197</v>
      </c>
      <c r="B4" s="44" t="s">
        <v>453</v>
      </c>
      <c r="C4" s="44" t="s">
        <v>198</v>
      </c>
      <c r="D4" s="44" t="s">
        <v>414</v>
      </c>
      <c r="E4" s="44" t="s">
        <v>415</v>
      </c>
      <c r="F4" s="45" t="s">
        <v>454</v>
      </c>
      <c r="G4" s="45" t="s">
        <v>416</v>
      </c>
      <c r="H4" s="44" t="s">
        <v>417</v>
      </c>
      <c r="I4" s="45" t="s">
        <v>199</v>
      </c>
      <c r="J4" s="68">
        <v>46276</v>
      </c>
      <c r="K4" s="68">
        <v>46276</v>
      </c>
      <c r="L4" s="44" t="s">
        <v>200</v>
      </c>
      <c r="M4" s="46" t="s">
        <v>418</v>
      </c>
    </row>
    <row r="5" spans="1:13" ht="43.75">
      <c r="A5" s="47" t="s">
        <v>201</v>
      </c>
      <c r="B5" s="48" t="s">
        <v>419</v>
      </c>
      <c r="C5" s="48" t="s">
        <v>202</v>
      </c>
      <c r="D5" s="48" t="s">
        <v>420</v>
      </c>
      <c r="E5" s="48" t="s">
        <v>421</v>
      </c>
      <c r="F5" s="49" t="s">
        <v>454</v>
      </c>
      <c r="G5" s="49" t="s">
        <v>416</v>
      </c>
      <c r="H5" s="48" t="s">
        <v>422</v>
      </c>
      <c r="I5" s="49" t="s">
        <v>199</v>
      </c>
      <c r="J5" s="69">
        <v>46276</v>
      </c>
      <c r="K5" s="69">
        <v>46276</v>
      </c>
      <c r="L5" s="48" t="s">
        <v>203</v>
      </c>
      <c r="M5" s="50" t="s">
        <v>423</v>
      </c>
    </row>
    <row r="6" spans="1:13" ht="42.45">
      <c r="A6" s="43" t="s">
        <v>204</v>
      </c>
      <c r="B6" s="44" t="s">
        <v>455</v>
      </c>
      <c r="C6" s="44" t="s">
        <v>205</v>
      </c>
      <c r="D6" s="44" t="s">
        <v>456</v>
      </c>
      <c r="E6" s="44" t="s">
        <v>457</v>
      </c>
      <c r="F6" s="45" t="s">
        <v>458</v>
      </c>
      <c r="G6" s="45" t="s">
        <v>459</v>
      </c>
      <c r="H6" s="44" t="s">
        <v>460</v>
      </c>
      <c r="I6" s="45" t="s">
        <v>199</v>
      </c>
      <c r="J6" s="68">
        <v>46276</v>
      </c>
      <c r="K6" s="68"/>
      <c r="L6" s="44" t="s">
        <v>206</v>
      </c>
      <c r="M6" s="46" t="s">
        <v>424</v>
      </c>
    </row>
    <row r="7" spans="1:13" ht="42.45">
      <c r="A7" s="47" t="s">
        <v>207</v>
      </c>
      <c r="B7" s="48" t="s">
        <v>461</v>
      </c>
      <c r="C7" s="48" t="s">
        <v>208</v>
      </c>
      <c r="D7" s="48" t="s">
        <v>462</v>
      </c>
      <c r="E7" s="48" t="s">
        <v>463</v>
      </c>
      <c r="F7" s="49" t="s">
        <v>464</v>
      </c>
      <c r="G7" s="49" t="s">
        <v>459</v>
      </c>
      <c r="H7" s="48" t="s">
        <v>465</v>
      </c>
      <c r="I7" s="49" t="s">
        <v>199</v>
      </c>
      <c r="J7" s="69">
        <v>46276</v>
      </c>
      <c r="K7" s="69"/>
      <c r="L7" s="48" t="s">
        <v>466</v>
      </c>
      <c r="M7" s="50" t="s">
        <v>425</v>
      </c>
    </row>
    <row r="8" spans="1:13" ht="29.15">
      <c r="A8" s="70" t="s">
        <v>209</v>
      </c>
      <c r="B8" s="71" t="s">
        <v>467</v>
      </c>
      <c r="C8" s="71" t="s">
        <v>210</v>
      </c>
      <c r="D8" s="71" t="s">
        <v>468</v>
      </c>
      <c r="E8" s="71" t="s">
        <v>469</v>
      </c>
      <c r="F8" s="72" t="s">
        <v>464</v>
      </c>
      <c r="G8" s="72" t="s">
        <v>459</v>
      </c>
      <c r="H8" s="71" t="s">
        <v>470</v>
      </c>
      <c r="I8" s="72" t="s">
        <v>199</v>
      </c>
      <c r="J8" s="73">
        <v>46276</v>
      </c>
      <c r="K8" s="73"/>
      <c r="L8" s="71" t="s">
        <v>471</v>
      </c>
      <c r="M8" s="74" t="s">
        <v>426</v>
      </c>
    </row>
    <row r="9" spans="1:13">
      <c r="J9" s="3"/>
      <c r="K9" s="3"/>
    </row>
    <row r="10" spans="1:13">
      <c r="J10" s="3"/>
      <c r="K10" s="3"/>
    </row>
    <row r="11" spans="1:13">
      <c r="J11" s="3"/>
      <c r="K11" s="3"/>
    </row>
    <row r="12" spans="1:13">
      <c r="J12" s="3"/>
      <c r="K12" s="3"/>
    </row>
    <row r="13" spans="1:13">
      <c r="J13" s="3"/>
      <c r="K13" s="3"/>
    </row>
    <row r="14" spans="1:13">
      <c r="J14" s="3"/>
      <c r="K14" s="3"/>
    </row>
    <row r="15" spans="1:13">
      <c r="J15" s="3"/>
      <c r="K15" s="3"/>
    </row>
    <row r="16" spans="1:13">
      <c r="J16" s="3"/>
      <c r="K16" s="3"/>
    </row>
    <row r="17" spans="10:11">
      <c r="J17" s="3"/>
      <c r="K17" s="3"/>
    </row>
    <row r="18" spans="10:11">
      <c r="J18" s="3"/>
      <c r="K18" s="3"/>
    </row>
    <row r="19" spans="10:11">
      <c r="J19" s="3"/>
      <c r="K19" s="3"/>
    </row>
    <row r="20" spans="10:11">
      <c r="J20" s="3"/>
      <c r="K20" s="3"/>
    </row>
    <row r="21" spans="10:11">
      <c r="J21" s="3"/>
      <c r="K21" s="3"/>
    </row>
    <row r="22" spans="10:11">
      <c r="J22" s="3"/>
      <c r="K22" s="3"/>
    </row>
    <row r="23" spans="10:11">
      <c r="J23" s="3"/>
      <c r="K23" s="3"/>
    </row>
    <row r="24" spans="10:11">
      <c r="J24" s="3"/>
      <c r="K24" s="3"/>
    </row>
    <row r="25" spans="10:11">
      <c r="J25" s="3"/>
      <c r="K25" s="3"/>
    </row>
    <row r="26" spans="10:11">
      <c r="J26" s="3"/>
      <c r="K26" s="3"/>
    </row>
    <row r="27" spans="10:11">
      <c r="J27" s="3"/>
      <c r="K27" s="3"/>
    </row>
    <row r="28" spans="10:11">
      <c r="J28" s="3"/>
      <c r="K28" s="3"/>
    </row>
    <row r="29" spans="10:11">
      <c r="J29" s="3"/>
      <c r="K29" s="3"/>
    </row>
    <row r="30" spans="10:11">
      <c r="J30" s="3"/>
      <c r="K30" s="3"/>
    </row>
    <row r="31" spans="10:11">
      <c r="J31" s="3"/>
      <c r="K31" s="3"/>
    </row>
    <row r="32" spans="10:11">
      <c r="J32" s="3"/>
      <c r="K32" s="3"/>
    </row>
    <row r="33" spans="10:11">
      <c r="J33" s="3"/>
      <c r="K33" s="3"/>
    </row>
    <row r="34" spans="10:11">
      <c r="J34" s="3"/>
      <c r="K34" s="3"/>
    </row>
    <row r="35" spans="10:11">
      <c r="J35" s="3"/>
      <c r="K35" s="3"/>
    </row>
    <row r="36" spans="10:11">
      <c r="J36" s="3"/>
      <c r="K36" s="3"/>
    </row>
    <row r="37" spans="10:11">
      <c r="J37" s="3"/>
      <c r="K37" s="3"/>
    </row>
    <row r="38" spans="10:11">
      <c r="J38" s="3"/>
      <c r="K38" s="3"/>
    </row>
    <row r="39" spans="10:11">
      <c r="J39" s="3"/>
      <c r="K39" s="3"/>
    </row>
    <row r="40" spans="10:11">
      <c r="J40" s="3"/>
      <c r="K40" s="3"/>
    </row>
    <row r="41" spans="10:11">
      <c r="J41" s="3"/>
      <c r="K41" s="3"/>
    </row>
    <row r="42" spans="10:11">
      <c r="J42" s="3"/>
      <c r="K42" s="3"/>
    </row>
    <row r="43" spans="10:11">
      <c r="J43" s="3"/>
      <c r="K43" s="3"/>
    </row>
    <row r="44" spans="10:11">
      <c r="J44" s="3"/>
      <c r="K44" s="3"/>
    </row>
    <row r="45" spans="10:11">
      <c r="J45" s="3"/>
      <c r="K45" s="3"/>
    </row>
    <row r="46" spans="10:11">
      <c r="J46" s="3"/>
      <c r="K46" s="3"/>
    </row>
    <row r="47" spans="10:11">
      <c r="J47" s="3"/>
      <c r="K47" s="3"/>
    </row>
    <row r="48" spans="10:11">
      <c r="J48" s="3"/>
      <c r="K48" s="3"/>
    </row>
    <row r="49" spans="10:11">
      <c r="J49" s="3"/>
      <c r="K49" s="3"/>
    </row>
    <row r="50" spans="10:11">
      <c r="J50" s="3"/>
      <c r="K50" s="3"/>
    </row>
    <row r="51" spans="10:11">
      <c r="J51" s="3"/>
      <c r="K51" s="3"/>
    </row>
    <row r="52" spans="10:11">
      <c r="J52" s="3"/>
      <c r="K52" s="3"/>
    </row>
    <row r="53" spans="10:11">
      <c r="J53" s="3"/>
      <c r="K53" s="3"/>
    </row>
    <row r="54" spans="10:11">
      <c r="J54" s="3"/>
      <c r="K54" s="3"/>
    </row>
    <row r="55" spans="10:11">
      <c r="J55" s="3"/>
      <c r="K55" s="3"/>
    </row>
    <row r="56" spans="10:11">
      <c r="J56" s="3"/>
      <c r="K56" s="3"/>
    </row>
    <row r="57" spans="10:11">
      <c r="J57" s="3"/>
      <c r="K57" s="3"/>
    </row>
    <row r="58" spans="10:11">
      <c r="J58" s="3"/>
      <c r="K58" s="3"/>
    </row>
    <row r="59" spans="10:11">
      <c r="J59" s="3"/>
      <c r="K59" s="3"/>
    </row>
    <row r="60" spans="10:11">
      <c r="J60" s="3"/>
      <c r="K60" s="3"/>
    </row>
    <row r="61" spans="10:11">
      <c r="J61" s="3"/>
      <c r="K61" s="3"/>
    </row>
    <row r="62" spans="10:11">
      <c r="J62" s="3"/>
      <c r="K62" s="3"/>
    </row>
    <row r="63" spans="10:11">
      <c r="J63" s="3"/>
      <c r="K63" s="3"/>
    </row>
    <row r="64" spans="10:11">
      <c r="J64" s="3"/>
      <c r="K64" s="3"/>
    </row>
    <row r="65" spans="10:11">
      <c r="J65" s="3"/>
      <c r="K65" s="3"/>
    </row>
    <row r="66" spans="10:11">
      <c r="J66" s="3"/>
      <c r="K66" s="3"/>
    </row>
    <row r="67" spans="10:11">
      <c r="J67" s="3"/>
      <c r="K67" s="3"/>
    </row>
    <row r="68" spans="10:11">
      <c r="J68" s="3"/>
      <c r="K68" s="3"/>
    </row>
    <row r="69" spans="10:11">
      <c r="J69" s="3"/>
      <c r="K69" s="3"/>
    </row>
    <row r="70" spans="10:11">
      <c r="J70" s="3"/>
      <c r="K70" s="3"/>
    </row>
    <row r="71" spans="10:11">
      <c r="J71" s="3"/>
      <c r="K71" s="3"/>
    </row>
    <row r="72" spans="10:11">
      <c r="J72" s="3"/>
      <c r="K72" s="3"/>
    </row>
    <row r="73" spans="10:11">
      <c r="J73" s="3"/>
      <c r="K73" s="3"/>
    </row>
    <row r="74" spans="10:11">
      <c r="J74" s="3"/>
      <c r="K74" s="3"/>
    </row>
    <row r="75" spans="10:11">
      <c r="J75" s="3"/>
      <c r="K75" s="3"/>
    </row>
    <row r="76" spans="10:11">
      <c r="J76" s="3"/>
      <c r="K76" s="3"/>
    </row>
    <row r="77" spans="10:11">
      <c r="J77" s="3"/>
      <c r="K77" s="3"/>
    </row>
    <row r="78" spans="10:11">
      <c r="J78" s="3"/>
      <c r="K78" s="3"/>
    </row>
    <row r="79" spans="10:11">
      <c r="J79" s="3"/>
      <c r="K79" s="3"/>
    </row>
    <row r="80" spans="10:11">
      <c r="J80" s="3"/>
      <c r="K80" s="3"/>
    </row>
    <row r="81" spans="10:11">
      <c r="J81" s="3"/>
      <c r="K81" s="3"/>
    </row>
    <row r="82" spans="10:11">
      <c r="J82" s="3"/>
      <c r="K82" s="3"/>
    </row>
    <row r="83" spans="10:11">
      <c r="J83" s="3"/>
      <c r="K83" s="3"/>
    </row>
    <row r="84" spans="10:11">
      <c r="J84" s="3"/>
      <c r="K84" s="3"/>
    </row>
    <row r="85" spans="10:11">
      <c r="J85" s="3"/>
      <c r="K85" s="3"/>
    </row>
    <row r="86" spans="10:11">
      <c r="J86" s="3"/>
      <c r="K86" s="3"/>
    </row>
    <row r="87" spans="10:11">
      <c r="J87" s="3"/>
      <c r="K87" s="3"/>
    </row>
    <row r="88" spans="10:11">
      <c r="J88" s="3"/>
      <c r="K88" s="3"/>
    </row>
    <row r="89" spans="10:11">
      <c r="J89" s="3"/>
      <c r="K89" s="3"/>
    </row>
    <row r="90" spans="10:11">
      <c r="J90" s="3"/>
      <c r="K90" s="3"/>
    </row>
    <row r="91" spans="10:11">
      <c r="J91" s="3"/>
      <c r="K91" s="3"/>
    </row>
    <row r="92" spans="10:11">
      <c r="J92" s="3"/>
      <c r="K92" s="3"/>
    </row>
    <row r="93" spans="10:11">
      <c r="J93" s="3"/>
      <c r="K93" s="3"/>
    </row>
    <row r="94" spans="10:11">
      <c r="J94" s="3"/>
      <c r="K94" s="3"/>
    </row>
    <row r="95" spans="10:11">
      <c r="J95" s="3"/>
      <c r="K95" s="3"/>
    </row>
    <row r="96" spans="10:11">
      <c r="J96" s="3"/>
      <c r="K96" s="3"/>
    </row>
    <row r="97" spans="10:11">
      <c r="J97" s="3"/>
      <c r="K97" s="3"/>
    </row>
    <row r="98" spans="10:11">
      <c r="J98" s="3"/>
      <c r="K98" s="3"/>
    </row>
    <row r="99" spans="10:11">
      <c r="J99" s="3"/>
      <c r="K99" s="3"/>
    </row>
    <row r="100" spans="10:11">
      <c r="J100" s="3"/>
      <c r="K100" s="3"/>
    </row>
    <row r="101" spans="10:11">
      <c r="J101" s="3"/>
      <c r="K101" s="3"/>
    </row>
    <row r="102" spans="10:11">
      <c r="J102" s="3"/>
      <c r="K102" s="3"/>
    </row>
    <row r="103" spans="10:11">
      <c r="J103" s="3"/>
      <c r="K103" s="3"/>
    </row>
  </sheetData>
  <mergeCells count="1">
    <mergeCell ref="A1:M1"/>
  </mergeCells>
  <phoneticPr fontId="3" type="noConversion"/>
  <conditionalFormatting sqref="F4:F100">
    <cfRule type="expression" dxfId="11" priority="1">
      <formula>F4="高 / HIGH"</formula>
    </cfRule>
    <cfRule type="expression" dxfId="10" priority="2">
      <formula>F4="中 / MEDIUM"</formula>
    </cfRule>
    <cfRule type="expression" dxfId="9" priority="3">
      <formula>F4="低 / LOW"</formula>
    </cfRule>
  </conditionalFormatting>
  <conditionalFormatting sqref="G4:G100">
    <cfRule type="expression" dxfId="8" priority="4">
      <formula>G4="待处理 / OPEN"</formula>
    </cfRule>
    <cfRule type="expression" dxfId="7" priority="5">
      <formula>G4="阻塞 / BLOCKED"</formula>
    </cfRule>
    <cfRule type="expression" dxfId="6" priority="6">
      <formula>G4="已解决 / RESOLVED"</formula>
    </cfRule>
    <cfRule type="expression" dxfId="5" priority="7">
      <formula>G4="不适用 / N/A"</formula>
    </cfRule>
  </conditionalFormatting>
  <dataValidations count="2">
    <dataValidation type="list" sqref="F4:F103" xr:uid="{00000000-0002-0000-0500-000000000000}">
      <formula1>"高 / HIGH,中 / MEDIUM,低 / LOW"</formula1>
    </dataValidation>
    <dataValidation type="list" sqref="G4:G103" xr:uid="{00000000-0002-0000-0500-000001000000}">
      <formula1>"待处理 / OPEN,阻塞 / BLOCKED,已解决 / RESOLVED,不适用 / 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8"/>
  <sheetViews>
    <sheetView workbookViewId="0">
      <selection activeCell="E17" sqref="E17"/>
    </sheetView>
  </sheetViews>
  <sheetFormatPr defaultRowHeight="14.15"/>
  <cols>
    <col min="1" max="1" width="20" style="38" customWidth="1"/>
    <col min="2" max="2" width="28" style="38" customWidth="1"/>
    <col min="3" max="3" width="18" style="38" customWidth="1"/>
    <col min="4" max="5" width="30" style="38" customWidth="1"/>
    <col min="6" max="6" width="34" style="38" customWidth="1"/>
    <col min="7" max="7" width="32" style="38" customWidth="1"/>
    <col min="8" max="8" width="20" style="38" customWidth="1"/>
    <col min="9" max="9" width="38" style="38" customWidth="1"/>
    <col min="10" max="16384" width="9.140625" style="38"/>
  </cols>
  <sheetData>
    <row r="1" spans="1:9" ht="16" customHeight="1">
      <c r="A1" s="37" t="s">
        <v>211</v>
      </c>
      <c r="B1" s="37"/>
      <c r="C1" s="37"/>
      <c r="D1" s="37"/>
      <c r="E1" s="37"/>
      <c r="F1" s="37"/>
      <c r="G1" s="37"/>
      <c r="H1" s="37"/>
      <c r="I1" s="37"/>
    </row>
    <row r="2" spans="1:9" ht="14.6">
      <c r="A2" s="39"/>
      <c r="B2" s="39"/>
      <c r="C2" s="39"/>
      <c r="D2" s="39"/>
      <c r="E2" s="39"/>
      <c r="F2" s="39"/>
      <c r="G2" s="39"/>
      <c r="H2" s="39"/>
      <c r="I2" s="39"/>
    </row>
    <row r="3" spans="1:9" ht="19.399999999999999" customHeight="1">
      <c r="A3" s="40" t="s">
        <v>75</v>
      </c>
      <c r="B3" s="41" t="s">
        <v>212</v>
      </c>
      <c r="C3" s="41" t="s">
        <v>213</v>
      </c>
      <c r="D3" s="41" t="s">
        <v>214</v>
      </c>
      <c r="E3" s="41" t="s">
        <v>215</v>
      </c>
      <c r="F3" s="41" t="s">
        <v>216</v>
      </c>
      <c r="G3" s="41" t="s">
        <v>217</v>
      </c>
      <c r="H3" s="41" t="s">
        <v>26</v>
      </c>
      <c r="I3" s="42" t="s">
        <v>28</v>
      </c>
    </row>
    <row r="4" spans="1:9" ht="14.6">
      <c r="A4" s="76" t="s">
        <v>218</v>
      </c>
      <c r="B4" s="44" t="s">
        <v>219</v>
      </c>
      <c r="C4" s="45" t="s">
        <v>220</v>
      </c>
      <c r="D4" s="44" t="s">
        <v>221</v>
      </c>
      <c r="E4" s="44" t="s">
        <v>222</v>
      </c>
      <c r="F4" s="44"/>
      <c r="G4" s="44"/>
      <c r="H4" s="45" t="s">
        <v>35</v>
      </c>
      <c r="I4" s="46"/>
    </row>
    <row r="5" spans="1:9" ht="14.6">
      <c r="A5" s="77" t="s">
        <v>223</v>
      </c>
      <c r="B5" s="48" t="s">
        <v>224</v>
      </c>
      <c r="C5" s="49" t="s">
        <v>225</v>
      </c>
      <c r="D5" s="48" t="s">
        <v>226</v>
      </c>
      <c r="E5" s="48" t="s">
        <v>222</v>
      </c>
      <c r="F5" s="48"/>
      <c r="G5" s="48"/>
      <c r="H5" s="49" t="s">
        <v>35</v>
      </c>
      <c r="I5" s="50"/>
    </row>
    <row r="6" spans="1:9" ht="16.3">
      <c r="A6" s="76" t="s">
        <v>227</v>
      </c>
      <c r="B6" s="44" t="s">
        <v>228</v>
      </c>
      <c r="C6" s="45" t="s">
        <v>84</v>
      </c>
      <c r="D6" s="44" t="s">
        <v>229</v>
      </c>
      <c r="E6" s="44" t="s">
        <v>222</v>
      </c>
      <c r="F6" s="44"/>
      <c r="G6" s="44"/>
      <c r="H6" s="45" t="s">
        <v>35</v>
      </c>
      <c r="I6" s="46"/>
    </row>
    <row r="7" spans="1:9" ht="14.6">
      <c r="A7" s="77" t="s">
        <v>230</v>
      </c>
      <c r="B7" s="48" t="s">
        <v>231</v>
      </c>
      <c r="C7" s="49" t="s">
        <v>84</v>
      </c>
      <c r="D7" s="48" t="s">
        <v>232</v>
      </c>
      <c r="E7" s="48" t="s">
        <v>222</v>
      </c>
      <c r="F7" s="48"/>
      <c r="G7" s="48"/>
      <c r="H7" s="49" t="s">
        <v>35</v>
      </c>
      <c r="I7" s="50"/>
    </row>
    <row r="8" spans="1:9" ht="14.6">
      <c r="A8" s="76" t="s">
        <v>233</v>
      </c>
      <c r="B8" s="44" t="s">
        <v>234</v>
      </c>
      <c r="C8" s="45" t="s">
        <v>235</v>
      </c>
      <c r="D8" s="44" t="s">
        <v>236</v>
      </c>
      <c r="E8" s="44" t="s">
        <v>237</v>
      </c>
      <c r="F8" s="44"/>
      <c r="G8" s="44"/>
      <c r="H8" s="45" t="s">
        <v>35</v>
      </c>
      <c r="I8" s="46"/>
    </row>
    <row r="9" spans="1:9" ht="14.6">
      <c r="A9" s="77" t="s">
        <v>238</v>
      </c>
      <c r="B9" s="48" t="s">
        <v>239</v>
      </c>
      <c r="C9" s="49" t="s">
        <v>225</v>
      </c>
      <c r="D9" s="48" t="s">
        <v>240</v>
      </c>
      <c r="E9" s="48" t="s">
        <v>222</v>
      </c>
      <c r="F9" s="48"/>
      <c r="G9" s="48"/>
      <c r="H9" s="49" t="s">
        <v>35</v>
      </c>
      <c r="I9" s="50"/>
    </row>
    <row r="10" spans="1:9" ht="14.6">
      <c r="A10" s="76" t="s">
        <v>241</v>
      </c>
      <c r="B10" s="44" t="s">
        <v>242</v>
      </c>
      <c r="C10" s="45" t="s">
        <v>84</v>
      </c>
      <c r="D10" s="44" t="s">
        <v>243</v>
      </c>
      <c r="E10" s="44" t="s">
        <v>222</v>
      </c>
      <c r="F10" s="44"/>
      <c r="G10" s="44"/>
      <c r="H10" s="45" t="s">
        <v>35</v>
      </c>
      <c r="I10" s="46"/>
    </row>
    <row r="11" spans="1:9" ht="14.6">
      <c r="A11" s="77" t="s">
        <v>244</v>
      </c>
      <c r="B11" s="48" t="s">
        <v>245</v>
      </c>
      <c r="C11" s="49" t="s">
        <v>84</v>
      </c>
      <c r="D11" s="48" t="s">
        <v>246</v>
      </c>
      <c r="E11" s="48" t="s">
        <v>222</v>
      </c>
      <c r="F11" s="48"/>
      <c r="G11" s="48"/>
      <c r="H11" s="49" t="s">
        <v>35</v>
      </c>
      <c r="I11" s="50"/>
    </row>
    <row r="12" spans="1:9" ht="29.15">
      <c r="A12" s="76" t="s">
        <v>247</v>
      </c>
      <c r="B12" s="44" t="s">
        <v>248</v>
      </c>
      <c r="C12" s="45"/>
      <c r="D12" s="44" t="s">
        <v>249</v>
      </c>
      <c r="E12" s="44" t="s">
        <v>250</v>
      </c>
      <c r="F12" s="44"/>
      <c r="G12" s="44"/>
      <c r="H12" s="45" t="s">
        <v>60</v>
      </c>
      <c r="I12" s="46" t="s">
        <v>251</v>
      </c>
    </row>
    <row r="13" spans="1:9" ht="29.15">
      <c r="A13" s="77" t="s">
        <v>252</v>
      </c>
      <c r="B13" s="48" t="s">
        <v>253</v>
      </c>
      <c r="C13" s="49"/>
      <c r="D13" s="48" t="s">
        <v>254</v>
      </c>
      <c r="E13" s="48" t="s">
        <v>255</v>
      </c>
      <c r="F13" s="48"/>
      <c r="G13" s="48"/>
      <c r="H13" s="49" t="s">
        <v>60</v>
      </c>
      <c r="I13" s="50" t="s">
        <v>256</v>
      </c>
    </row>
    <row r="14" spans="1:9" ht="29.15">
      <c r="A14" s="76" t="s">
        <v>257</v>
      </c>
      <c r="B14" s="44" t="s">
        <v>258</v>
      </c>
      <c r="C14" s="45"/>
      <c r="D14" s="44" t="s">
        <v>259</v>
      </c>
      <c r="E14" s="44" t="s">
        <v>260</v>
      </c>
      <c r="F14" s="44"/>
      <c r="G14" s="44"/>
      <c r="H14" s="45" t="s">
        <v>60</v>
      </c>
      <c r="I14" s="46" t="s">
        <v>261</v>
      </c>
    </row>
    <row r="15" spans="1:9" ht="29.15">
      <c r="A15" s="77" t="s">
        <v>262</v>
      </c>
      <c r="B15" s="48" t="s">
        <v>263</v>
      </c>
      <c r="C15" s="49"/>
      <c r="D15" s="48" t="s">
        <v>264</v>
      </c>
      <c r="E15" s="48" t="s">
        <v>219</v>
      </c>
      <c r="F15" s="48"/>
      <c r="G15" s="48"/>
      <c r="H15" s="49" t="s">
        <v>60</v>
      </c>
      <c r="I15" s="50" t="s">
        <v>265</v>
      </c>
    </row>
    <row r="16" spans="1:9" ht="43.75">
      <c r="A16" s="76" t="s">
        <v>266</v>
      </c>
      <c r="B16" s="44" t="s">
        <v>267</v>
      </c>
      <c r="C16" s="45"/>
      <c r="D16" s="44" t="s">
        <v>268</v>
      </c>
      <c r="E16" s="44" t="s">
        <v>250</v>
      </c>
      <c r="F16" s="44"/>
      <c r="G16" s="44"/>
      <c r="H16" s="45" t="s">
        <v>60</v>
      </c>
      <c r="I16" s="46" t="s">
        <v>269</v>
      </c>
    </row>
    <row r="17" spans="1:9" ht="29.15">
      <c r="A17" s="77" t="s">
        <v>270</v>
      </c>
      <c r="B17" s="48" t="s">
        <v>271</v>
      </c>
      <c r="C17" s="49"/>
      <c r="D17" s="48" t="s">
        <v>272</v>
      </c>
      <c r="E17" s="48" t="s">
        <v>273</v>
      </c>
      <c r="F17" s="48"/>
      <c r="G17" s="48"/>
      <c r="H17" s="49" t="s">
        <v>60</v>
      </c>
      <c r="I17" s="50" t="s">
        <v>274</v>
      </c>
    </row>
    <row r="18" spans="1:9" ht="29.15">
      <c r="A18" s="78" t="s">
        <v>275</v>
      </c>
      <c r="B18" s="71" t="s">
        <v>276</v>
      </c>
      <c r="C18" s="72"/>
      <c r="D18" s="71" t="s">
        <v>277</v>
      </c>
      <c r="E18" s="71" t="s">
        <v>278</v>
      </c>
      <c r="F18" s="71"/>
      <c r="G18" s="71"/>
      <c r="H18" s="72" t="s">
        <v>60</v>
      </c>
      <c r="I18" s="74" t="s">
        <v>279</v>
      </c>
    </row>
  </sheetData>
  <mergeCells count="1">
    <mergeCell ref="A1:I1"/>
  </mergeCells>
  <phoneticPr fontId="3" type="noConversion"/>
  <conditionalFormatting sqref="H4:H100">
    <cfRule type="expression" dxfId="4" priority="1">
      <formula>H4="已确认 / CONFIRMED"</formula>
    </cfRule>
    <cfRule type="expression" dxfId="3" priority="2">
      <formula>H4="已实测 / MEASURED"</formula>
    </cfRule>
    <cfRule type="expression" dxfId="2" priority="3">
      <formula>H4="临时假设 / ASSUMED"</formula>
    </cfRule>
    <cfRule type="expression" dxfId="1" priority="4">
      <formula>H4="未确认 / UNKNOWN"</formula>
    </cfRule>
    <cfRule type="expression" dxfId="0" priority="5">
      <formula>H4="不适用 / N/A"</formula>
    </cfRule>
  </conditionalFormatting>
  <dataValidations count="1">
    <dataValidation type="list" sqref="H4:H103" xr:uid="{00000000-0002-0000-06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00_说明_Instructions</vt:lpstr>
      <vt:lpstr>01_资料_References</vt:lpstr>
      <vt:lpstr>02_资源_Hardware</vt:lpstr>
      <vt:lpstr>03_引脚_Pinout</vt:lpstr>
      <vt:lpstr>04_接口_HSI</vt:lpstr>
      <vt:lpstr>05_问题_Issues</vt:lpstr>
      <vt:lpstr>06_环境_Environment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耀仟 王</cp:lastModifiedBy>
  <dcterms:modified xsi:type="dcterms:W3CDTF">2026-09-11T08:26:45Z</dcterms:modified>
</cp:coreProperties>
</file>